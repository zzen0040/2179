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dcceew2.sharepoint.com/sites/DCCEEW-DSaD/Shared Documents/Web Pubs/DCCEEW/Environment/Land/"/>
    </mc:Choice>
  </mc:AlternateContent>
  <xr:revisionPtr revIDLastSave="1" documentId="13_ncr:1_{FDD5B450-7455-4F35-8FB9-A3EFB5610917}" xr6:coauthVersionLast="47" xr6:coauthVersionMax="47" xr10:uidLastSave="{D9A1C614-F0DE-4AD9-8A9C-BC4B90E0D480}"/>
  <bookViews>
    <workbookView xWindow="-103" yWindow="-103" windowWidth="16663" windowHeight="8743" activeTab="5" xr2:uid="{00000000-000D-0000-FFFF-FFFF00000000}"/>
  </bookViews>
  <sheets>
    <sheet name="Type" sheetId="1" r:id="rId1"/>
    <sheet name="IUCN Category" sheetId="2" r:id="rId2"/>
    <sheet name="IBRA Bioregions" sheetId="3" r:id="rId3"/>
    <sheet name="Bioregion by Type" sheetId="4" r:id="rId4"/>
    <sheet name="Bioregion by IUCN" sheetId="5" r:id="rId5"/>
    <sheet name="IBRA Subregions" sheetId="6" r:id="rId6"/>
    <sheet name="Detailed Lis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7" l="1"/>
  <c r="H30" i="7"/>
  <c r="H31" i="7" s="1"/>
  <c r="G30" i="7"/>
  <c r="F30" i="7"/>
  <c r="H22" i="7"/>
  <c r="G22" i="7"/>
  <c r="F22" i="7"/>
  <c r="H18" i="7"/>
  <c r="G18" i="7"/>
  <c r="F18" i="7"/>
  <c r="H4" i="7"/>
  <c r="G4" i="7"/>
  <c r="G31" i="7" s="1"/>
  <c r="F4" i="7"/>
  <c r="F31" i="7" s="1"/>
  <c r="D7" i="1"/>
  <c r="E4" i="4"/>
  <c r="E5" i="4"/>
  <c r="E6" i="4"/>
  <c r="E7" i="4"/>
  <c r="E8" i="4"/>
  <c r="E9" i="4"/>
  <c r="E10" i="4"/>
  <c r="E3" i="4"/>
  <c r="D11" i="4"/>
  <c r="C11" i="4"/>
  <c r="J4" i="5"/>
  <c r="J5" i="5"/>
  <c r="J6" i="5"/>
  <c r="J7" i="5"/>
  <c r="J8" i="5"/>
  <c r="J9" i="5"/>
  <c r="J10" i="5"/>
  <c r="J3" i="5"/>
  <c r="F11" i="5"/>
  <c r="G11" i="5"/>
  <c r="H11" i="5"/>
  <c r="I11" i="5"/>
  <c r="E11" i="5"/>
  <c r="B10" i="2"/>
  <c r="C10" i="2"/>
  <c r="F11" i="3"/>
  <c r="C11" i="3"/>
  <c r="D11" i="3"/>
  <c r="C13" i="1"/>
  <c r="E13" i="1"/>
  <c r="D13" i="1"/>
  <c r="D9" i="1" s="1"/>
  <c r="E7" i="1"/>
  <c r="C7" i="1"/>
  <c r="J11" i="5" l="1"/>
  <c r="E11" i="3"/>
  <c r="E11" i="4"/>
</calcChain>
</file>

<file path=xl/sharedStrings.xml><?xml version="1.0" encoding="utf-8"?>
<sst xmlns="http://schemas.openxmlformats.org/spreadsheetml/2006/main" count="538" uniqueCount="234">
  <si>
    <t>Type</t>
  </si>
  <si>
    <t>Type Code</t>
  </si>
  <si>
    <r>
      <rPr>
        <b/>
        <vertAlign val="superscript"/>
        <sz val="10"/>
        <color theme="1"/>
        <rFont val="Arial"/>
        <family val="2"/>
      </rPr>
      <t>1</t>
    </r>
    <r>
      <rPr>
        <b/>
        <sz val="10"/>
        <color theme="1"/>
        <rFont val="Arial"/>
        <family val="2"/>
      </rPr>
      <t>Number</t>
    </r>
  </si>
  <si>
    <r>
      <rPr>
        <b/>
        <vertAlign val="superscript"/>
        <sz val="10"/>
        <color theme="1"/>
        <rFont val="Arial"/>
        <family val="2"/>
      </rPr>
      <t>2</t>
    </r>
    <r>
      <rPr>
        <b/>
        <sz val="10"/>
        <color theme="1"/>
        <rFont val="Arial"/>
        <family val="2"/>
      </rPr>
      <t>Area (ha)</t>
    </r>
  </si>
  <si>
    <t>Antarctic Specially Managed Area</t>
  </si>
  <si>
    <t>ASMA</t>
  </si>
  <si>
    <t>Antarctic Specially Protected Area</t>
  </si>
  <si>
    <t>ASPA</t>
  </si>
  <si>
    <t>Botanic Gardens (Commonwealth)</t>
  </si>
  <si>
    <t>BG_COM</t>
  </si>
  <si>
    <t>National Park (Commonwealth)</t>
  </si>
  <si>
    <t>NPC</t>
  </si>
  <si>
    <t>Total</t>
  </si>
  <si>
    <t/>
  </si>
  <si>
    <t>Additional types WITHIN or PARTIALLY WITHIN the protected areas above</t>
  </si>
  <si>
    <t>Number</t>
  </si>
  <si>
    <t>Overlapping Area (ha)</t>
  </si>
  <si>
    <t>IUCN Category</t>
  </si>
  <si>
    <t>Ia</t>
  </si>
  <si>
    <t>Ib</t>
  </si>
  <si>
    <t>II</t>
  </si>
  <si>
    <t>III</t>
  </si>
  <si>
    <t>IV</t>
  </si>
  <si>
    <t>VI</t>
  </si>
  <si>
    <t>V</t>
  </si>
  <si>
    <t>IBRA Region Name</t>
  </si>
  <si>
    <t>IBRA Region Code</t>
  </si>
  <si>
    <t>Arnhem Plateau</t>
  </si>
  <si>
    <t>ARP</t>
  </si>
  <si>
    <t>Darwin Coastal</t>
  </si>
  <si>
    <t>DAC</t>
  </si>
  <si>
    <t>Great Sandy Desert</t>
  </si>
  <si>
    <t>GSD</t>
  </si>
  <si>
    <t>Indian Tropical Islands</t>
  </si>
  <si>
    <t>ITI</t>
  </si>
  <si>
    <t>Pine Creek</t>
  </si>
  <si>
    <t>PCK</t>
  </si>
  <si>
    <t>Pacific Subtropical Islands</t>
  </si>
  <si>
    <t>PSI</t>
  </si>
  <si>
    <t>South Eastern Highlands</t>
  </si>
  <si>
    <t>SEH</t>
  </si>
  <si>
    <t>Sydney Basin</t>
  </si>
  <si>
    <t>SYB</t>
  </si>
  <si>
    <t>* The abbreviated Protected Area types that appear in row 2 can be found in the 'Type' worksheet.</t>
  </si>
  <si>
    <t>IBRA Subregion Name</t>
  </si>
  <si>
    <t>IBRA Subregion Code</t>
  </si>
  <si>
    <t>Alligator</t>
  </si>
  <si>
    <t>ARP01</t>
  </si>
  <si>
    <t>Mainoru</t>
  </si>
  <si>
    <t>ARP02</t>
  </si>
  <si>
    <t>ARP Total</t>
  </si>
  <si>
    <t>DAC01</t>
  </si>
  <si>
    <t>DAC Total</t>
  </si>
  <si>
    <t>Amedeus</t>
  </si>
  <si>
    <t>GSD04</t>
  </si>
  <si>
    <t>Ehrenberg</t>
  </si>
  <si>
    <t>GSD03</t>
  </si>
  <si>
    <t>Lake Bennett</t>
  </si>
  <si>
    <t>GSD05</t>
  </si>
  <si>
    <t>Lake Lewis</t>
  </si>
  <si>
    <t>GSD06</t>
  </si>
  <si>
    <t>Mackay</t>
  </si>
  <si>
    <t>GSD02</t>
  </si>
  <si>
    <t>McLarty</t>
  </si>
  <si>
    <t>GSD01</t>
  </si>
  <si>
    <t>GSD Total</t>
  </si>
  <si>
    <t>Christmas Island</t>
  </si>
  <si>
    <t>ITI01</t>
  </si>
  <si>
    <t>Cocos Islands</t>
  </si>
  <si>
    <t>ITI02</t>
  </si>
  <si>
    <t>Timor Sea Coral Islands</t>
  </si>
  <si>
    <t>ITI03</t>
  </si>
  <si>
    <t>ITI Total</t>
  </si>
  <si>
    <t>PCK01</t>
  </si>
  <si>
    <t>PCK Total</t>
  </si>
  <si>
    <t>Lord Howe Island</t>
  </si>
  <si>
    <t>PSI01</t>
  </si>
  <si>
    <t>Norfolk Island</t>
  </si>
  <si>
    <t>PSI02</t>
  </si>
  <si>
    <t>PSI Total</t>
  </si>
  <si>
    <t>Bathurst</t>
  </si>
  <si>
    <t>SEH11</t>
  </si>
  <si>
    <t>Bondo</t>
  </si>
  <si>
    <t>SEH14</t>
  </si>
  <si>
    <t>Bungonia</t>
  </si>
  <si>
    <t>SEH07</t>
  </si>
  <si>
    <t>Capertee Uplands</t>
  </si>
  <si>
    <t>SEH17</t>
  </si>
  <si>
    <t>Crookwell</t>
  </si>
  <si>
    <t>SEH09</t>
  </si>
  <si>
    <t>Highlands-Northern Fall</t>
  </si>
  <si>
    <t>SEH02</t>
  </si>
  <si>
    <t>Highlands-Southern Fall</t>
  </si>
  <si>
    <t>SEH01</t>
  </si>
  <si>
    <t>Hill End</t>
  </si>
  <si>
    <t>SEH13</t>
  </si>
  <si>
    <t>Kanangra</t>
  </si>
  <si>
    <t>SEH08</t>
  </si>
  <si>
    <t>Kybeyan-Gourock</t>
  </si>
  <si>
    <t>SEH15</t>
  </si>
  <si>
    <t>Monaro</t>
  </si>
  <si>
    <t>SEH16</t>
  </si>
  <si>
    <t>Murrumbateman</t>
  </si>
  <si>
    <t>SEH06</t>
  </si>
  <si>
    <t>Oberon</t>
  </si>
  <si>
    <t>SEH10</t>
  </si>
  <si>
    <t>Orange</t>
  </si>
  <si>
    <t>SEH12</t>
  </si>
  <si>
    <t>Otway Ranges</t>
  </si>
  <si>
    <t>SEH03</t>
  </si>
  <si>
    <t>Strzelecki Ranges</t>
  </si>
  <si>
    <t>SEH04</t>
  </si>
  <si>
    <t>SEH Total</t>
  </si>
  <si>
    <t>Burragorang</t>
  </si>
  <si>
    <t>SYB09</t>
  </si>
  <si>
    <t>Cumberland</t>
  </si>
  <si>
    <t>SYB08</t>
  </si>
  <si>
    <t>Ettrema</t>
  </si>
  <si>
    <t>SYB13</t>
  </si>
  <si>
    <t>Hunter</t>
  </si>
  <si>
    <t>SYB02</t>
  </si>
  <si>
    <t>Illawarra</t>
  </si>
  <si>
    <t>SYB12</t>
  </si>
  <si>
    <t>Jervis</t>
  </si>
  <si>
    <t>SYB14</t>
  </si>
  <si>
    <t>Kerrabee</t>
  </si>
  <si>
    <t>SYB01</t>
  </si>
  <si>
    <t>Moss Vale</t>
  </si>
  <si>
    <t>SYB11</t>
  </si>
  <si>
    <t>Pittwater</t>
  </si>
  <si>
    <t>SYB07</t>
  </si>
  <si>
    <t>Sydney Cataract</t>
  </si>
  <si>
    <t>SYB10</t>
  </si>
  <si>
    <t>Wollemi</t>
  </si>
  <si>
    <t>SYB04</t>
  </si>
  <si>
    <t>Wyong</t>
  </si>
  <si>
    <t>SYB06</t>
  </si>
  <si>
    <t>Yengo</t>
  </si>
  <si>
    <t>SYB05</t>
  </si>
  <si>
    <t>SYB Total</t>
  </si>
  <si>
    <t>Name</t>
  </si>
  <si>
    <t>Gazetted Area (ha)</t>
  </si>
  <si>
    <t>Declared</t>
  </si>
  <si>
    <t>Latest Gazettal</t>
  </si>
  <si>
    <t>Longitude</t>
  </si>
  <si>
    <t>Latitude</t>
  </si>
  <si>
    <t>IBRA Regions</t>
  </si>
  <si>
    <t>Larsemann Hills</t>
  </si>
  <si>
    <t>Amanda Bay</t>
  </si>
  <si>
    <t>Ardery Island and Odbert Island</t>
  </si>
  <si>
    <t>Clark Peninsula</t>
  </si>
  <si>
    <t>Frazier Islands</t>
  </si>
  <si>
    <t>Hawker Island</t>
  </si>
  <si>
    <t>Marine Plain</t>
  </si>
  <si>
    <t>Mawson's Huts</t>
  </si>
  <si>
    <t>Mount Harding</t>
  </si>
  <si>
    <t>North-eastern Bailey Peninsula</t>
  </si>
  <si>
    <t>Rookery Islands</t>
  </si>
  <si>
    <t>Scullin and Murray Monoliths</t>
  </si>
  <si>
    <t>Stornes</t>
  </si>
  <si>
    <t>Taylor Rookery</t>
  </si>
  <si>
    <t>Australian National</t>
  </si>
  <si>
    <t>Booderee</t>
  </si>
  <si>
    <t>Kakadu</t>
  </si>
  <si>
    <t>ARP,DAC,PCK</t>
  </si>
  <si>
    <t>Norfolk Island (Mt Pitt)</t>
  </si>
  <si>
    <t>Norfolk Island (Phillip Island)</t>
  </si>
  <si>
    <t>Pulu Keeling</t>
  </si>
  <si>
    <t>Uluru-Kata Tjuta</t>
  </si>
  <si>
    <t>% of Protected Areas managed by Aus Government</t>
  </si>
  <si>
    <r>
      <rPr>
        <b/>
        <vertAlign val="superscript"/>
        <sz val="10"/>
        <color theme="1"/>
        <rFont val="Arial"/>
        <family val="2"/>
      </rPr>
      <t>1</t>
    </r>
    <r>
      <rPr>
        <b/>
        <sz val="10"/>
        <color theme="1"/>
        <rFont val="Arial"/>
        <family val="2"/>
      </rPr>
      <t xml:space="preserve">IBRA Area (ha) </t>
    </r>
  </si>
  <si>
    <r>
      <rPr>
        <b/>
        <vertAlign val="superscript"/>
        <sz val="10"/>
        <color theme="1"/>
        <rFont val="Arial"/>
        <family val="2"/>
      </rPr>
      <t>1</t>
    </r>
    <r>
      <rPr>
        <b/>
        <sz val="10"/>
        <color theme="1"/>
        <rFont val="Arial"/>
        <family val="2"/>
      </rPr>
      <t xml:space="preserve"> Area Protected (ha)</t>
    </r>
  </si>
  <si>
    <t>IBRA Subregion Area (ha)</t>
  </si>
  <si>
    <t>% IBRA Region Protected</t>
  </si>
  <si>
    <t>Terrestrial Protected Areas by IBRA Subregions in Commonwealth (2024)</t>
  </si>
  <si>
    <t>Terrestrial Protected Areas by Bioregion by IUCN in Commonwealth (2024)</t>
  </si>
  <si>
    <t>Terrestrial Protected Areas by Bioregion by Type in Commonwealth (2024)</t>
  </si>
  <si>
    <t>Terrestrial Protected Areas by IBRA Bioregions in Commonwealth (2024)</t>
  </si>
  <si>
    <t>Terrestrial Protected Areas by IUCN Category in Commonwealth (2024)</t>
  </si>
  <si>
    <t>Terrestrial Protected Areas by Type in Commonwealth (2024)</t>
  </si>
  <si>
    <t>Terrestrial Protected Areas in Commonwealth (2024)</t>
  </si>
  <si>
    <t>06/08/2007</t>
  </si>
  <si>
    <t>05/08/2014</t>
  </si>
  <si>
    <t>11/09/2008</t>
  </si>
  <si>
    <t>01/01/1966</t>
  </si>
  <si>
    <t>31/10/2015</t>
  </si>
  <si>
    <t>01/01/1985</t>
  </si>
  <si>
    <t>01/01/2000</t>
  </si>
  <si>
    <t>01/01/2003</t>
  </si>
  <si>
    <t>27/08/2013</t>
  </si>
  <si>
    <t>21/09/2006</t>
  </si>
  <si>
    <t>29/09/2011</t>
  </si>
  <si>
    <t>01/01/1987</t>
  </si>
  <si>
    <t>26/06/2014</t>
  </si>
  <si>
    <t>01/01/2008</t>
  </si>
  <si>
    <t>15/09/2005</t>
  </si>
  <si>
    <t>13/07/2015</t>
  </si>
  <si>
    <t>11/07/1980</t>
  </si>
  <si>
    <t>17/09/1991</t>
  </si>
  <si>
    <t>27/02/1992</t>
  </si>
  <si>
    <t>30/01/1986</t>
  </si>
  <si>
    <t>27/05/1993</t>
  </si>
  <si>
    <t>19/02/1980</t>
  </si>
  <si>
    <t>14/12/1989</t>
  </si>
  <si>
    <t>04/05/1979</t>
  </si>
  <si>
    <t>07/02/1996</t>
  </si>
  <si>
    <t>12/12/1995</t>
  </si>
  <si>
    <t>23/01/1958</t>
  </si>
  <si>
    <t>Area of Commonwealth</t>
  </si>
  <si>
    <t>1. The number of protected areas (as defined by unique PA_IDs) which have been attributed with this TYPE. The total number of protected areas in this tab may differ from the totals in the 'IUCN Category' and 'Detailed List' tabs due to summarising of records based on NAME and TYPE (e.g. unique PA_ID). Overlaps are excluded from the top table.</t>
  </si>
  <si>
    <t>3. The total number of protected areas (unique PA_IDs) contributing to the NRS regardless of overlaps. In some previous CAPAD versions this figure was calculated as the sum of the top table total (excluding overlaps), and the bottom table total (overlapped areas).</t>
  </si>
  <si>
    <t>* Terrestrial protected areas managed by the Australian Government are duplicated across this spreadsheet and the relevant state/territory spreadsheet where applicable (e.g. Kakadu, Uluru, National Botanic Gardens).</t>
  </si>
  <si>
    <t>* This information may not match exactly the statistics reported by State, Territory and other agencies. This is likely due to differences in the method used to calculate the Total Area of State/Territory. CAPAD uses state and territory areas as published by Geoscience Australia.</t>
  </si>
  <si>
    <t xml:space="preserve">2. Area is based on calculated GIS_AREA data (rather than gazetted areas). GIS_AREA is the area in hectares based on current spatial data and an Albers equal area projection for Australia. </t>
  </si>
  <si>
    <t>For Antarctic protected areas (ASMAs and ASPAs), GIS_AREA is calculated using a WGS_1984 Australian Antarctic Polar Stereographic projection.</t>
  </si>
  <si>
    <t>1. The number of protected areas which contain an area with the listed IUCN classification. This area could be the entire protected area or a part of the protected area. The total number of protected areas in this tab may differ from the totals in other tabs due to summarising of records based on NAME, TYPE and IUCN category. Overlaps are excluded from this table.</t>
  </si>
  <si>
    <t>IBRA regions do not extend to the Antarctic land and water areas.</t>
  </si>
  <si>
    <t>*Some protected areas or parts of protected areas are not within IBRA regions/subregions (e.g. ASMAs and ASPAs are not reported). Only the protected area within IBRA regions/subregions are included in the table above. Therefore the total area protected reported here may be slightly less than in the 'Type' and 'IUCN Category' tabs. Overlaps are excluded from this table.</t>
  </si>
  <si>
    <t xml:space="preserve">1. Area is based on calculated GIS_AREA data (rather than gazetted areas). GIS_AREA is the area in hectares based on current spatial data and an Albers equal area projection for Australia. </t>
  </si>
  <si>
    <t>2. Percentage of the IBRA Region area that falls within the state or territory.</t>
  </si>
  <si>
    <r>
      <rPr>
        <b/>
        <vertAlign val="superscript"/>
        <sz val="10"/>
        <color theme="1"/>
        <rFont val="Arial"/>
        <family val="2"/>
      </rPr>
      <t>1</t>
    </r>
    <r>
      <rPr>
        <b/>
        <sz val="10"/>
        <color theme="1"/>
        <rFont val="Arial"/>
        <family val="2"/>
      </rPr>
      <t>Area Protected (ha)</t>
    </r>
  </si>
  <si>
    <r>
      <rPr>
        <b/>
        <vertAlign val="superscript"/>
        <sz val="10"/>
        <color theme="1"/>
        <rFont val="Arial"/>
        <family val="2"/>
      </rPr>
      <t>2</t>
    </r>
    <r>
      <rPr>
        <b/>
        <sz val="10"/>
        <color theme="1"/>
        <rFont val="Arial"/>
        <family val="2"/>
      </rPr>
      <t>Total (ha)</t>
    </r>
  </si>
  <si>
    <r>
      <rPr>
        <b/>
        <vertAlign val="superscript"/>
        <sz val="10"/>
        <color theme="1"/>
        <rFont val="Arial"/>
        <family val="2"/>
      </rPr>
      <t>1</t>
    </r>
    <r>
      <rPr>
        <b/>
        <sz val="10"/>
        <color theme="1"/>
        <rFont val="Arial"/>
        <family val="2"/>
      </rPr>
      <t>Total (ha)</t>
    </r>
  </si>
  <si>
    <t>% Protected</t>
  </si>
  <si>
    <r>
      <rPr>
        <b/>
        <vertAlign val="superscript"/>
        <sz val="10"/>
        <color theme="1"/>
        <rFont val="Arial"/>
        <family val="2"/>
      </rPr>
      <t>1,2</t>
    </r>
    <r>
      <rPr>
        <b/>
        <sz val="10"/>
        <color theme="1"/>
        <rFont val="Arial"/>
        <family val="2"/>
      </rPr>
      <t>Total Area (ha)</t>
    </r>
  </si>
  <si>
    <r>
      <rPr>
        <b/>
        <vertAlign val="superscript"/>
        <sz val="10"/>
        <color theme="1"/>
        <rFont val="Arial"/>
        <family val="2"/>
      </rPr>
      <t>3</t>
    </r>
    <r>
      <rPr>
        <b/>
        <sz val="10"/>
        <color theme="1"/>
        <rFont val="Arial"/>
        <family val="2"/>
      </rPr>
      <t>NRS Area (ha)</t>
    </r>
  </si>
  <si>
    <r>
      <rPr>
        <b/>
        <vertAlign val="superscript"/>
        <sz val="10"/>
        <color theme="1"/>
        <rFont val="Arial"/>
        <family val="2"/>
      </rPr>
      <t>4</t>
    </r>
    <r>
      <rPr>
        <b/>
        <sz val="10"/>
        <color theme="1"/>
        <rFont val="Arial"/>
        <family val="2"/>
      </rPr>
      <t>Overlapped / Non-contributing Area (ha)</t>
    </r>
  </si>
  <si>
    <t>2. The total area of each protected area or 'part' (grouped by PA_ID, IUCN Category, Gazettal Date and Latest Gazettal Date) regardless of overlaps.</t>
  </si>
  <si>
    <t>3. The total area of each protected area or 'part' (grouped by PA_ID, IUCN Category, Gazettal Date and Latest Gazettal Date) that overlaps or is not overlapped and contributes to the NRS calculated total area.</t>
  </si>
  <si>
    <t>4. The total area of each protected area or 'part' (grouped by PA_ID, IUCN Category, Gazettal Date and Latest Gazettal Date) that is overlapped and does not contribute to the NRS calculated total area.</t>
  </si>
  <si>
    <r>
      <rPr>
        <b/>
        <vertAlign val="superscript"/>
        <sz val="10"/>
        <color theme="1"/>
        <rFont val="Arial"/>
        <family val="2"/>
      </rPr>
      <t>3</t>
    </r>
    <r>
      <rPr>
        <b/>
        <sz val="10"/>
        <color theme="1"/>
        <rFont val="Arial"/>
        <family val="2"/>
      </rPr>
      <t>Total (including types below)</t>
    </r>
  </si>
  <si>
    <t>* Only protected areas that meet the standard for inclusion in the NRS are included in this table. For details see the Technical Specification document at - https://www.dcceew.gov.au/environment/land/nrs/science/capad/2024.</t>
  </si>
  <si>
    <t>*IBRA protection values are calculated using IBRA 7.1 (published 2025). Prior to CAPAD 2024, IBRA 7.0 was used.</t>
  </si>
  <si>
    <r>
      <rPr>
        <b/>
        <vertAlign val="superscript"/>
        <sz val="10"/>
        <color theme="1"/>
        <rFont val="Arial"/>
        <family val="2"/>
      </rPr>
      <t>2</t>
    </r>
    <r>
      <rPr>
        <b/>
        <sz val="10"/>
        <color theme="1"/>
        <rFont val="Arial"/>
        <family val="2"/>
      </rPr>
      <t>% of Protected Areas managed by Aus Government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</si>
</sst>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000"/>
  </numFmts>
  <fonts count="5" x14ac:knownFonts="1">
    <font>
      <sz val="11"/>
      <color theme="1"/>
      <name val="Calibri"/>
      <family val="2"/>
      <scheme val="minor"/>
    </font>
    <font>
      <b/>
      <sz val="10"/>
      <color theme="1"/>
      <name val="Arial"/>
      <family val="2"/>
    </font>
    <font>
      <sz val="10"/>
      <color theme="1"/>
      <name val="Arial"/>
      <family val="2"/>
    </font>
    <font>
      <sz val="8"/>
      <color rgb="FF808080"/>
      <name val="Arial"/>
      <family val="2"/>
    </font>
    <font>
      <b/>
      <vertAlign val="superscript"/>
      <sz val="10"/>
      <color theme="1"/>
      <name val="Arial"/>
      <family val="2"/>
    </font>
  </fonts>
  <fills count="5">
    <fill>
      <patternFill patternType="none"/>
    </fill>
    <fill>
      <patternFill patternType="gray125"/>
    </fill>
    <fill>
      <patternFill patternType="solid">
        <fgColor rgb="FF99CC00"/>
        <bgColor indexed="64"/>
      </patternFill>
    </fill>
    <fill>
      <patternFill patternType="solid">
        <fgColor rgb="FFC0C0C0"/>
        <bgColor indexed="64"/>
      </patternFill>
    </fill>
    <fill>
      <patternFill patternType="solid">
        <fgColor theme="0" tint="-0.249977111117893"/>
        <bgColor indexed="64"/>
      </patternFill>
    </fill>
  </fills>
  <borders count="17">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medium">
        <color indexed="64"/>
      </right>
      <top style="medium">
        <color indexed="64"/>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medium">
        <color auto="1"/>
      </top>
      <bottom/>
      <diagonal/>
    </border>
  </borders>
  <cellStyleXfs count="1">
    <xf numFmtId="0" fontId="0" fillId="0" borderId="0"/>
  </cellStyleXfs>
  <cellXfs count="55">
    <xf numFmtId="0" fontId="0" fillId="0" borderId="0" xfId="0"/>
    <xf numFmtId="0" fontId="1" fillId="3" borderId="2" xfId="0" applyFont="1" applyFill="1" applyBorder="1" applyAlignment="1">
      <alignment horizontal="center" wrapText="1"/>
    </xf>
    <xf numFmtId="0" fontId="0" fillId="0" borderId="3" xfId="0" applyBorder="1"/>
    <xf numFmtId="0" fontId="2" fillId="0" borderId="2" xfId="0" applyFont="1" applyBorder="1"/>
    <xf numFmtId="164" fontId="2" fillId="0" borderId="2" xfId="0" applyNumberFormat="1" applyFont="1" applyBorder="1"/>
    <xf numFmtId="4" fontId="2" fillId="0" borderId="2" xfId="0" applyNumberFormat="1" applyFont="1" applyBorder="1"/>
    <xf numFmtId="0" fontId="1" fillId="3" borderId="4" xfId="0" applyFont="1" applyFill="1" applyBorder="1"/>
    <xf numFmtId="164" fontId="1" fillId="3" borderId="4" xfId="0" applyNumberFormat="1" applyFont="1" applyFill="1" applyBorder="1"/>
    <xf numFmtId="4" fontId="1" fillId="3" borderId="4" xfId="0" applyNumberFormat="1" applyFont="1" applyFill="1" applyBorder="1"/>
    <xf numFmtId="0" fontId="1" fillId="3" borderId="5" xfId="0" applyFont="1" applyFill="1" applyBorder="1"/>
    <xf numFmtId="164" fontId="1" fillId="3" borderId="5" xfId="0" applyNumberFormat="1" applyFont="1" applyFill="1" applyBorder="1"/>
    <xf numFmtId="0" fontId="1" fillId="0" borderId="2" xfId="0" applyFont="1" applyBorder="1" applyAlignment="1">
      <alignment wrapText="1"/>
    </xf>
    <xf numFmtId="0" fontId="2" fillId="0" borderId="2" xfId="0" applyFont="1" applyBorder="1" applyAlignment="1">
      <alignment wrapText="1"/>
    </xf>
    <xf numFmtId="0" fontId="0" fillId="0" borderId="6" xfId="0" applyBorder="1"/>
    <xf numFmtId="14" fontId="2" fillId="0" borderId="2" xfId="0" applyNumberFormat="1" applyFont="1" applyBorder="1"/>
    <xf numFmtId="165" fontId="2" fillId="0" borderId="2" xfId="0" applyNumberFormat="1" applyFont="1" applyBorder="1"/>
    <xf numFmtId="0" fontId="1" fillId="0" borderId="2" xfId="0" applyFont="1" applyBorder="1"/>
    <xf numFmtId="164" fontId="1" fillId="0" borderId="2" xfId="0" applyNumberFormat="1" applyFont="1" applyBorder="1"/>
    <xf numFmtId="0" fontId="1" fillId="3" borderId="2" xfId="0" applyFont="1" applyFill="1" applyBorder="1" applyAlignment="1">
      <alignment horizontal="center" vertical="center" wrapText="1"/>
    </xf>
    <xf numFmtId="0" fontId="3" fillId="0" borderId="0" xfId="0" applyFont="1" applyAlignment="1">
      <alignment horizontal="left" vertical="center" wrapText="1"/>
    </xf>
    <xf numFmtId="0" fontId="1" fillId="3" borderId="7" xfId="0" applyFont="1" applyFill="1" applyBorder="1" applyAlignment="1">
      <alignment horizontal="center" vertical="center" wrapText="1"/>
    </xf>
    <xf numFmtId="164" fontId="2" fillId="0" borderId="2" xfId="0" applyNumberFormat="1" applyFont="1" applyBorder="1" applyAlignment="1">
      <alignment vertical="center"/>
    </xf>
    <xf numFmtId="4" fontId="2" fillId="0" borderId="2" xfId="0" applyNumberFormat="1" applyFont="1" applyBorder="1" applyAlignment="1">
      <alignment vertical="center"/>
    </xf>
    <xf numFmtId="0" fontId="1" fillId="3" borderId="5" xfId="0" applyFont="1" applyFill="1" applyBorder="1" applyAlignment="1">
      <alignment horizontal="center" vertical="center" wrapText="1"/>
    </xf>
    <xf numFmtId="0" fontId="0" fillId="0" borderId="0" xfId="0" applyAlignment="1">
      <alignment horizontal="left"/>
    </xf>
    <xf numFmtId="0" fontId="3" fillId="0" borderId="0" xfId="0" applyFont="1" applyAlignment="1">
      <alignment horizontal="left" wrapText="1"/>
    </xf>
    <xf numFmtId="0" fontId="0" fillId="0" borderId="0" xfId="0" applyAlignment="1">
      <alignment vertical="center"/>
    </xf>
    <xf numFmtId="0" fontId="0" fillId="0" borderId="3" xfId="0" applyBorder="1" applyAlignment="1">
      <alignment vertical="center"/>
    </xf>
    <xf numFmtId="164" fontId="0" fillId="0" borderId="0" xfId="0" applyNumberFormat="1"/>
    <xf numFmtId="43" fontId="1" fillId="3" borderId="4" xfId="0" applyNumberFormat="1" applyFont="1" applyFill="1" applyBorder="1"/>
    <xf numFmtId="0" fontId="2" fillId="0" borderId="0" xfId="0" applyFont="1"/>
    <xf numFmtId="0" fontId="3" fillId="0" borderId="0" xfId="0" applyFont="1" applyAlignment="1">
      <alignment wrapText="1"/>
    </xf>
    <xf numFmtId="0" fontId="3" fillId="0" borderId="0" xfId="0" applyFont="1"/>
    <xf numFmtId="0" fontId="1" fillId="3" borderId="8" xfId="0" applyFont="1" applyFill="1" applyBorder="1" applyAlignment="1">
      <alignment horizontal="center" vertical="center" wrapText="1"/>
    </xf>
    <xf numFmtId="0" fontId="2" fillId="0" borderId="8" xfId="0" applyFont="1" applyBorder="1"/>
    <xf numFmtId="4" fontId="2" fillId="0" borderId="9" xfId="0" applyNumberFormat="1" applyFont="1" applyBorder="1"/>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3" xfId="0" applyFont="1" applyFill="1" applyBorder="1"/>
    <xf numFmtId="0" fontId="1" fillId="3" borderId="14" xfId="0" applyFont="1" applyFill="1" applyBorder="1"/>
    <xf numFmtId="164" fontId="1" fillId="3" borderId="14" xfId="0" applyNumberFormat="1" applyFont="1" applyFill="1" applyBorder="1"/>
    <xf numFmtId="4" fontId="1" fillId="3" borderId="15" xfId="0" applyNumberFormat="1" applyFont="1" applyFill="1" applyBorder="1"/>
    <xf numFmtId="0" fontId="1" fillId="3" borderId="8" xfId="0" applyFont="1" applyFill="1" applyBorder="1" applyAlignment="1">
      <alignment horizontal="center" wrapText="1"/>
    </xf>
    <xf numFmtId="0" fontId="2" fillId="0" borderId="8" xfId="0" applyFont="1" applyBorder="1" applyAlignment="1">
      <alignment vertical="center"/>
    </xf>
    <xf numFmtId="4" fontId="1" fillId="3" borderId="14" xfId="0" applyNumberFormat="1" applyFont="1" applyFill="1" applyBorder="1"/>
    <xf numFmtId="43" fontId="1" fillId="3" borderId="14" xfId="0" applyNumberFormat="1" applyFont="1" applyFill="1" applyBorder="1"/>
    <xf numFmtId="164" fontId="2" fillId="0" borderId="8" xfId="0" applyNumberFormat="1" applyFont="1" applyBorder="1"/>
    <xf numFmtId="164" fontId="2" fillId="3" borderId="9" xfId="0" applyNumberFormat="1" applyFont="1" applyFill="1" applyBorder="1"/>
    <xf numFmtId="164" fontId="1" fillId="3" borderId="15" xfId="0" applyNumberFormat="1" applyFont="1" applyFill="1" applyBorder="1"/>
    <xf numFmtId="164" fontId="2" fillId="4" borderId="9" xfId="0" applyNumberFormat="1" applyFont="1" applyFill="1" applyBorder="1"/>
    <xf numFmtId="0" fontId="1" fillId="2" borderId="1" xfId="0" applyFont="1" applyFill="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wrapText="1"/>
    </xf>
    <xf numFmtId="0" fontId="1" fillId="2" borderId="16" xfId="0" applyFont="1" applyFill="1" applyBorder="1" applyAlignment="1">
      <alignment horizontal="center" vertical="center"/>
    </xf>
  </cellXfs>
  <cellStyles count="1">
    <cellStyle name="Normal" xfId="0" builtinId="0"/>
  </cellStyles>
  <dxfs count="49">
    <dxf>
      <font>
        <b val="0"/>
        <i val="0"/>
        <strike val="0"/>
        <condense val="0"/>
        <extend val="0"/>
        <outline val="0"/>
        <shadow val="0"/>
        <u val="none"/>
        <vertAlign val="baseline"/>
        <sz val="10"/>
        <color theme="1"/>
        <name val="Arial"/>
        <family val="2"/>
        <scheme val="none"/>
      </font>
      <numFmt numFmtId="164" formatCode="_-* #,##0_-;\-* #,##0_-;_-* &quot;-&quot;??_-;_-@_-"/>
      <fill>
        <patternFill patternType="solid">
          <fgColor indexed="64"/>
          <bgColor theme="0" tint="-0.249977111117893"/>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medium">
          <color auto="1"/>
        </bottom>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164" formatCode="_-* #,##0_-;\-* #,##0_-;_-* &quot;-&quot;??_-;_-@_-"/>
      <fill>
        <patternFill patternType="solid">
          <fgColor indexed="64"/>
          <bgColor rgb="FFC0C0C0"/>
        </patternFill>
      </fill>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medium">
          <color auto="1"/>
        </bottom>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medium">
          <color auto="1"/>
        </right>
        <top style="medium">
          <color auto="1"/>
        </top>
        <bottom style="medium">
          <color auto="1"/>
        </bottom>
      </border>
    </dxf>
    <dxf>
      <font>
        <b val="0"/>
        <i val="0"/>
        <strike val="0"/>
        <condense val="0"/>
        <extend val="0"/>
        <outline val="0"/>
        <shadow val="0"/>
        <u val="none"/>
        <vertAlign val="baseline"/>
        <sz val="10"/>
        <color theme="1"/>
        <name val="Arial"/>
        <family val="2"/>
        <scheme val="none"/>
      </font>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
      <border outline="0">
        <top style="thin">
          <color auto="1"/>
        </top>
      </border>
    </dxf>
    <dxf>
      <border outline="0">
        <left style="thin">
          <color auto="1"/>
        </left>
        <top style="medium">
          <color auto="1"/>
        </top>
        <bottom style="medium">
          <color auto="1"/>
        </bottom>
      </border>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Arial"/>
        <family val="2"/>
        <scheme val="none"/>
      </font>
      <numFmt numFmtId="4" formatCode="#,##0.0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numFmt numFmtId="164" formatCode="_-* #,##0_-;\-* #,##0_-;_-* &quot;-&quot;??_-;_-@_-"/>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Arial"/>
        <family val="2"/>
        <scheme val="none"/>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medium">
          <color auto="1"/>
        </bottom>
      </border>
    </dxf>
    <dxf>
      <border outline="0">
        <bottom style="thin">
          <color auto="1"/>
        </bottom>
      </border>
    </dxf>
    <dxf>
      <font>
        <b/>
        <i val="0"/>
        <strike val="0"/>
        <condense val="0"/>
        <extend val="0"/>
        <outline val="0"/>
        <shadow val="0"/>
        <u val="none"/>
        <vertAlign val="baseline"/>
        <sz val="10"/>
        <color theme="1"/>
        <name val="Arial"/>
        <family val="2"/>
        <scheme val="none"/>
      </font>
      <fill>
        <patternFill patternType="solid">
          <fgColor indexed="64"/>
          <bgColor rgb="FFC0C0C0"/>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314974-E67A-4F35-B57B-0323D6F60AEF}" name="Table1" displayName="Table1" ref="A2:E7" totalsRowShown="0" headerRowDxfId="48" headerRowBorderDxfId="47" tableBorderDxfId="46" totalsRowBorderDxfId="45">
  <autoFilter ref="A2:E7" xr:uid="{A2314974-E67A-4F35-B57B-0323D6F60AEF}"/>
  <tableColumns count="5">
    <tableColumn id="1" xr3:uid="{5FD24BF4-6B36-46D6-B4C9-154E985388DD}" name="Type" dataDxfId="44"/>
    <tableColumn id="2" xr3:uid="{3EF2CA7A-3A06-45AA-A0E4-B96768E8EF0C}" name="Type Code" dataDxfId="43"/>
    <tableColumn id="3" xr3:uid="{FC3F3DFA-C2A4-4ED0-80BC-AEE44FAD7BD2}" name="1Number" dataDxfId="42"/>
    <tableColumn id="4" xr3:uid="{ADD1F780-42EA-43CC-990B-06AE4A2B76D2}" name="2Area (ha)" dataDxfId="41"/>
    <tableColumn id="5" xr3:uid="{69498283-15B0-4DB1-BF52-151E7D9DAF01}" name="% of Protected Areas managed by Aus Government" dataDxfId="4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063ACF-1B0D-47B9-BFC2-DECA783A5E3E}" name="Table2" displayName="Table2" ref="A2:D10" totalsRowShown="0" headerRowDxfId="39" headerRowBorderDxfId="38" tableBorderDxfId="37" totalsRowBorderDxfId="36">
  <autoFilter ref="A2:D10" xr:uid="{86063ACF-1B0D-47B9-BFC2-DECA783A5E3E}"/>
  <tableColumns count="4">
    <tableColumn id="1" xr3:uid="{D2C39798-AD60-4A8B-8439-0ED78A65ACBD}" name="IUCN Category"/>
    <tableColumn id="2" xr3:uid="{C703A064-F53B-488B-8D65-BFD972DE2F14}" name="1Number"/>
    <tableColumn id="3" xr3:uid="{F6F1C8EA-1602-481A-B57B-3F072FC6CF76}" name="2Area (ha)"/>
    <tableColumn id="4" xr3:uid="{6876BC52-C44A-4A05-AF87-E3063B396088}" name="% of Protected Areas managed by Aus Government"/>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880A62-B0D5-401C-B276-C8D5C8F0ECAB}" name="Table3" displayName="Table3" ref="A2:F11" totalsRowShown="0" headerRowDxfId="35" dataDxfId="33" headerRowBorderDxfId="34" tableBorderDxfId="32" totalsRowBorderDxfId="31">
  <autoFilter ref="A2:F11" xr:uid="{36880A62-B0D5-401C-B276-C8D5C8F0ECAB}"/>
  <tableColumns count="6">
    <tableColumn id="1" xr3:uid="{6668722C-A035-4663-818C-07AC69FCF87F}" name="IBRA Region Name" dataDxfId="30"/>
    <tableColumn id="2" xr3:uid="{1BF13402-3064-43F5-A1A7-B2F47E290D26}" name="IBRA Region Code" dataDxfId="29"/>
    <tableColumn id="3" xr3:uid="{C4A8AE2B-5633-481F-A408-665FDB3C13E5}" name="1IBRA Area (ha) " dataDxfId="28"/>
    <tableColumn id="4" xr3:uid="{AB4080E6-5F90-44D3-934C-339153EC6204}" name="1Area Protected (ha)" dataDxfId="27"/>
    <tableColumn id="5" xr3:uid="{6103EDBD-B9AB-497B-A14C-82CD786FC6F9}" name="% IBRA Region Protected" dataDxfId="26"/>
    <tableColumn id="6" xr3:uid="{9D6BAE3E-CBBA-45E4-87D2-440921F64321}" name="2% of Protected Areas managed by Aus Government" dataDxfId="25"/>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DD689-F092-47A5-9B5D-A4C95336C4A6}" name="Table4" displayName="Table4" ref="A2:E11" totalsRowShown="0" headerRowDxfId="24" dataDxfId="22" headerRowBorderDxfId="23" tableBorderDxfId="21" totalsRowBorderDxfId="20">
  <autoFilter ref="A2:E11" xr:uid="{079DD689-F092-47A5-9B5D-A4C95336C4A6}"/>
  <tableColumns count="5">
    <tableColumn id="1" xr3:uid="{624C8EFD-3A1C-4994-A2E8-9C40000D62DA}" name="IBRA Region Name" dataDxfId="19"/>
    <tableColumn id="2" xr3:uid="{4F37C957-144C-4B46-954E-313AD7585A55}" name="IBRA Region Code" dataDxfId="18"/>
    <tableColumn id="3" xr3:uid="{DE4B9E3C-BC24-4C6F-AD58-3F3214301D73}" name="BG_COM" dataDxfId="17"/>
    <tableColumn id="4" xr3:uid="{D3C3842A-9798-461A-B359-E10506EE5EA5}" name="NPC" dataDxfId="16"/>
    <tableColumn id="5" xr3:uid="{221B2E8A-9E90-4075-AA5B-8D79602E726C}" name="2Total (ha)" dataDxfId="15"/>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E9DFEA-CF77-4C03-A941-F715F7471F36}" name="Table5" displayName="Table5" ref="A2:J11" totalsRowShown="0" headerRowDxfId="14" dataDxfId="12" headerRowBorderDxfId="13" tableBorderDxfId="11" totalsRowBorderDxfId="10">
  <autoFilter ref="A2:J11" xr:uid="{EEE9DFEA-CF77-4C03-A941-F715F7471F36}"/>
  <tableColumns count="10">
    <tableColumn id="1" xr3:uid="{543ED64A-A8BC-4BBD-AE99-35F737913F59}" name="IBRA Region Name" dataDxfId="9"/>
    <tableColumn id="2" xr3:uid="{2851CEAD-8A6C-4330-940D-389AC6AC0BF5}" name="IBRA Region Code" dataDxfId="8"/>
    <tableColumn id="3" xr3:uid="{35E7905C-9E6D-4C6B-BC6D-49B906E9749D}" name="Ia" dataDxfId="7"/>
    <tableColumn id="4" xr3:uid="{0CA0AC03-F3A4-4933-8AF2-00044218DC3B}" name="Ib" dataDxfId="6"/>
    <tableColumn id="5" xr3:uid="{9D806374-FC3F-4067-9D61-C60C8669ADA9}" name="II" dataDxfId="5"/>
    <tableColumn id="6" xr3:uid="{91455ECF-2863-43FC-9CFB-82ED82938C87}" name="III" dataDxfId="4"/>
    <tableColumn id="7" xr3:uid="{D363863B-81DF-41BC-834D-6109AD95A83C}" name="IV" dataDxfId="3"/>
    <tableColumn id="8" xr3:uid="{F8DFF673-0BDD-4D8D-87DC-2C18BCC33F98}" name="V" dataDxfId="2"/>
    <tableColumn id="9" xr3:uid="{4F8D584A-345C-491C-A771-2A9A227EB735}" name="VI" dataDxfId="1"/>
    <tableColumn id="10" xr3:uid="{0436396D-DA4B-4AB1-9BE3-8D8D3C248D13}" name="1Total (ha)" dataDxfId="0"/>
  </tableColumns>
  <tableStyleInfo name="TableStyleLight1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workbookViewId="0">
      <selection activeCell="A19" sqref="A19:E19"/>
    </sheetView>
  </sheetViews>
  <sheetFormatPr defaultRowHeight="14.6" x14ac:dyDescent="0.4"/>
  <cols>
    <col min="1" max="1" width="50.69140625" customWidth="1"/>
    <col min="2" max="4" width="12.69140625" customWidth="1"/>
    <col min="5" max="5" width="45.15234375" customWidth="1"/>
  </cols>
  <sheetData>
    <row r="1" spans="1:5" s="26" customFormat="1" ht="23.15" customHeight="1" thickBot="1" x14ac:dyDescent="0.45">
      <c r="A1" s="51" t="s">
        <v>179</v>
      </c>
      <c r="B1" s="51"/>
      <c r="C1" s="51"/>
      <c r="D1" s="51"/>
      <c r="E1" s="51"/>
    </row>
    <row r="2" spans="1:5" s="26" customFormat="1" ht="23.15" customHeight="1" x14ac:dyDescent="0.4">
      <c r="A2" s="36" t="s">
        <v>0</v>
      </c>
      <c r="B2" s="37" t="s">
        <v>1</v>
      </c>
      <c r="C2" s="37" t="s">
        <v>2</v>
      </c>
      <c r="D2" s="37" t="s">
        <v>3</v>
      </c>
      <c r="E2" s="38" t="s">
        <v>169</v>
      </c>
    </row>
    <row r="3" spans="1:5" ht="14.15" customHeight="1" x14ac:dyDescent="0.4">
      <c r="A3" s="34" t="s">
        <v>4</v>
      </c>
      <c r="B3" s="3" t="s">
        <v>5</v>
      </c>
      <c r="C3" s="4">
        <v>1</v>
      </c>
      <c r="D3" s="4">
        <v>23896.934746235209</v>
      </c>
      <c r="E3" s="35">
        <v>1.1377087722274071</v>
      </c>
    </row>
    <row r="4" spans="1:5" ht="14.15" customHeight="1" x14ac:dyDescent="0.4">
      <c r="A4" s="34" t="s">
        <v>6</v>
      </c>
      <c r="B4" s="3" t="s">
        <v>7</v>
      </c>
      <c r="C4" s="4">
        <v>13</v>
      </c>
      <c r="D4" s="4">
        <v>16760.327274403218</v>
      </c>
      <c r="E4" s="35">
        <v>0.79794214479724856</v>
      </c>
    </row>
    <row r="5" spans="1:5" ht="14.15" customHeight="1" x14ac:dyDescent="0.4">
      <c r="A5" s="34" t="s">
        <v>8</v>
      </c>
      <c r="B5" s="3" t="s">
        <v>9</v>
      </c>
      <c r="C5" s="4">
        <v>3</v>
      </c>
      <c r="D5" s="4">
        <v>157.54825652510399</v>
      </c>
      <c r="E5" s="35">
        <v>7.5007123466319563E-3</v>
      </c>
    </row>
    <row r="6" spans="1:5" ht="14.15" customHeight="1" x14ac:dyDescent="0.4">
      <c r="A6" s="34" t="s">
        <v>10</v>
      </c>
      <c r="B6" s="3" t="s">
        <v>11</v>
      </c>
      <c r="C6" s="4">
        <v>7</v>
      </c>
      <c r="D6" s="4">
        <v>2059629.1108371799</v>
      </c>
      <c r="E6" s="35">
        <v>98.056848370628714</v>
      </c>
    </row>
    <row r="7" spans="1:5" x14ac:dyDescent="0.4">
      <c r="A7" s="39" t="s">
        <v>12</v>
      </c>
      <c r="B7" s="40" t="s">
        <v>13</v>
      </c>
      <c r="C7" s="41">
        <f>SUM(C3:C6)</f>
        <v>24</v>
      </c>
      <c r="D7" s="41">
        <f>SUM(D3:D6)</f>
        <v>2100443.9211143437</v>
      </c>
      <c r="E7" s="42">
        <f>SUM(E3:E6)</f>
        <v>100</v>
      </c>
    </row>
    <row r="8" spans="1:5" ht="15" thickBot="1" x14ac:dyDescent="0.45"/>
    <row r="9" spans="1:5" x14ac:dyDescent="0.4">
      <c r="A9" s="9" t="s">
        <v>230</v>
      </c>
      <c r="B9" s="9"/>
      <c r="C9" s="10">
        <v>24</v>
      </c>
      <c r="D9" s="10">
        <f>SUM(D7,D13)</f>
        <v>2102577.0241194116</v>
      </c>
      <c r="E9" s="9"/>
    </row>
    <row r="10" spans="1:5" x14ac:dyDescent="0.4">
      <c r="A10" s="3"/>
    </row>
    <row r="11" spans="1:5" ht="25.75" x14ac:dyDescent="0.4">
      <c r="A11" s="11" t="s">
        <v>14</v>
      </c>
      <c r="B11" s="3"/>
      <c r="C11" s="12" t="s">
        <v>15</v>
      </c>
      <c r="D11" s="12" t="s">
        <v>16</v>
      </c>
      <c r="E11" s="3"/>
    </row>
    <row r="12" spans="1:5" ht="14.15" customHeight="1" x14ac:dyDescent="0.4">
      <c r="A12" s="3" t="s">
        <v>6</v>
      </c>
      <c r="B12" s="3" t="s">
        <v>7</v>
      </c>
      <c r="C12" s="4">
        <v>1</v>
      </c>
      <c r="D12" s="4">
        <v>2133.1030050677932</v>
      </c>
      <c r="E12" s="5">
        <v>0.1015548657893291</v>
      </c>
    </row>
    <row r="13" spans="1:5" ht="15" thickBot="1" x14ac:dyDescent="0.45">
      <c r="A13" s="6" t="s">
        <v>12</v>
      </c>
      <c r="B13" s="6" t="s">
        <v>13</v>
      </c>
      <c r="C13" s="7">
        <f>SUM(C12)</f>
        <v>1</v>
      </c>
      <c r="D13" s="7">
        <f>SUM(D12)</f>
        <v>2133.1030050677932</v>
      </c>
      <c r="E13" s="29">
        <f>SUM(E12)</f>
        <v>0.1015548657893291</v>
      </c>
    </row>
    <row r="14" spans="1:5" x14ac:dyDescent="0.4">
      <c r="B14" s="13"/>
      <c r="C14" s="13"/>
    </row>
    <row r="16" spans="1:5" x14ac:dyDescent="0.4">
      <c r="A16" s="19"/>
    </row>
    <row r="17" spans="1:5" ht="26.15" customHeight="1" x14ac:dyDescent="0.4">
      <c r="A17" s="52" t="s">
        <v>209</v>
      </c>
      <c r="B17" s="52"/>
      <c r="C17" s="52"/>
      <c r="D17" s="52"/>
      <c r="E17" s="52"/>
    </row>
    <row r="18" spans="1:5" ht="26.15" customHeight="1" x14ac:dyDescent="0.4">
      <c r="A18" s="52" t="s">
        <v>213</v>
      </c>
      <c r="B18" s="52"/>
      <c r="C18" s="52"/>
      <c r="D18" s="52"/>
      <c r="E18" s="52"/>
    </row>
    <row r="19" spans="1:5" ht="24.45" customHeight="1" x14ac:dyDescent="0.4">
      <c r="A19" s="52" t="s">
        <v>214</v>
      </c>
      <c r="B19" s="52"/>
      <c r="C19" s="52"/>
      <c r="D19" s="52"/>
      <c r="E19" s="52"/>
    </row>
    <row r="20" spans="1:5" ht="25.95" customHeight="1" x14ac:dyDescent="0.4">
      <c r="A20" s="52" t="s">
        <v>210</v>
      </c>
      <c r="B20" s="52"/>
      <c r="C20" s="52"/>
      <c r="D20" s="52"/>
      <c r="E20" s="52"/>
    </row>
    <row r="21" spans="1:5" ht="25.95" customHeight="1" x14ac:dyDescent="0.4">
      <c r="A21" s="19"/>
      <c r="B21" s="19"/>
      <c r="C21" s="19"/>
      <c r="D21" s="19"/>
      <c r="E21" s="19"/>
    </row>
    <row r="22" spans="1:5" ht="26.15" customHeight="1" x14ac:dyDescent="0.4">
      <c r="A22" s="52" t="s">
        <v>211</v>
      </c>
      <c r="B22" s="52"/>
      <c r="C22" s="52"/>
      <c r="D22" s="52"/>
      <c r="E22" s="52"/>
    </row>
    <row r="23" spans="1:5" ht="26.15" customHeight="1" x14ac:dyDescent="0.4">
      <c r="A23" s="52" t="s">
        <v>231</v>
      </c>
      <c r="B23" s="52"/>
      <c r="C23" s="52"/>
      <c r="D23" s="52"/>
      <c r="E23" s="52"/>
    </row>
    <row r="24" spans="1:5" ht="26.15" customHeight="1" x14ac:dyDescent="0.4">
      <c r="A24" s="52" t="s">
        <v>212</v>
      </c>
      <c r="B24" s="52"/>
      <c r="C24" s="52"/>
      <c r="D24" s="52"/>
      <c r="E24" s="52"/>
    </row>
    <row r="25" spans="1:5" x14ac:dyDescent="0.4">
      <c r="A25" s="19"/>
    </row>
    <row r="26" spans="1:5" x14ac:dyDescent="0.4">
      <c r="A26" s="19"/>
    </row>
  </sheetData>
  <mergeCells count="8">
    <mergeCell ref="A1:E1"/>
    <mergeCell ref="A23:E23"/>
    <mergeCell ref="A24:E24"/>
    <mergeCell ref="A17:E17"/>
    <mergeCell ref="A18:E18"/>
    <mergeCell ref="A19:E19"/>
    <mergeCell ref="A20:E20"/>
    <mergeCell ref="A22:E22"/>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workbookViewId="0">
      <selection activeCell="A2" sqref="A2:D10"/>
    </sheetView>
  </sheetViews>
  <sheetFormatPr defaultRowHeight="14.6" x14ac:dyDescent="0.4"/>
  <cols>
    <col min="1" max="2" width="15.23046875" customWidth="1"/>
    <col min="3" max="3" width="17" customWidth="1"/>
    <col min="4" max="4" width="45.15234375" customWidth="1"/>
    <col min="6" max="6" width="9.84375" bestFit="1" customWidth="1"/>
  </cols>
  <sheetData>
    <row r="1" spans="1:4" ht="23.15" customHeight="1" thickBot="1" x14ac:dyDescent="0.45">
      <c r="A1" s="54" t="s">
        <v>178</v>
      </c>
      <c r="B1" s="54"/>
      <c r="C1" s="54"/>
      <c r="D1" s="54"/>
    </row>
    <row r="2" spans="1:4" ht="23.15" customHeight="1" x14ac:dyDescent="0.4">
      <c r="A2" s="43" t="s">
        <v>17</v>
      </c>
      <c r="B2" s="1" t="s">
        <v>2</v>
      </c>
      <c r="C2" s="1" t="s">
        <v>3</v>
      </c>
      <c r="D2" s="20" t="s">
        <v>169</v>
      </c>
    </row>
    <row r="3" spans="1:4" ht="14.15" customHeight="1" x14ac:dyDescent="0.4">
      <c r="A3" s="34" t="s">
        <v>18</v>
      </c>
      <c r="B3" s="4">
        <v>14</v>
      </c>
      <c r="C3" s="4">
        <v>40657.262020638438</v>
      </c>
      <c r="D3" s="5">
        <v>1.9356509170246561</v>
      </c>
    </row>
    <row r="4" spans="1:4" ht="14.15" customHeight="1" x14ac:dyDescent="0.4">
      <c r="A4" s="34" t="s">
        <v>19</v>
      </c>
      <c r="B4" s="4">
        <v>0</v>
      </c>
      <c r="C4" s="4">
        <v>0</v>
      </c>
      <c r="D4" s="5">
        <v>0</v>
      </c>
    </row>
    <row r="5" spans="1:4" ht="14.15" customHeight="1" x14ac:dyDescent="0.4">
      <c r="A5" s="34" t="s">
        <v>20</v>
      </c>
      <c r="B5" s="4">
        <v>7</v>
      </c>
      <c r="C5" s="4">
        <v>2059629.1108371799</v>
      </c>
      <c r="D5" s="5">
        <v>98.056848370628714</v>
      </c>
    </row>
    <row r="6" spans="1:4" ht="14.15" customHeight="1" x14ac:dyDescent="0.4">
      <c r="A6" s="34" t="s">
        <v>21</v>
      </c>
      <c r="B6" s="4">
        <v>0</v>
      </c>
      <c r="C6" s="4">
        <v>0</v>
      </c>
      <c r="D6" s="5">
        <v>0</v>
      </c>
    </row>
    <row r="7" spans="1:4" ht="14.15" customHeight="1" x14ac:dyDescent="0.4">
      <c r="A7" s="34" t="s">
        <v>22</v>
      </c>
      <c r="B7" s="4">
        <v>3</v>
      </c>
      <c r="C7" s="4">
        <v>157.54825652510391</v>
      </c>
      <c r="D7" s="5">
        <v>7.5007123466319546E-3</v>
      </c>
    </row>
    <row r="8" spans="1:4" ht="14.15" customHeight="1" x14ac:dyDescent="0.4">
      <c r="A8" s="44" t="s">
        <v>23</v>
      </c>
      <c r="B8" s="21">
        <v>0</v>
      </c>
      <c r="C8" s="21">
        <v>0</v>
      </c>
      <c r="D8" s="22">
        <v>0</v>
      </c>
    </row>
    <row r="9" spans="1:4" ht="14.15" customHeight="1" x14ac:dyDescent="0.4">
      <c r="A9" s="44" t="s">
        <v>24</v>
      </c>
      <c r="B9" s="21">
        <v>0</v>
      </c>
      <c r="C9" s="21">
        <v>0</v>
      </c>
      <c r="D9" s="22">
        <v>0</v>
      </c>
    </row>
    <row r="10" spans="1:4" x14ac:dyDescent="0.4">
      <c r="A10" s="39" t="s">
        <v>12</v>
      </c>
      <c r="B10" s="41">
        <f>SUM(B3:B9)</f>
        <v>24</v>
      </c>
      <c r="C10" s="41">
        <f>SUM(C3:C9)</f>
        <v>2100443.9211143437</v>
      </c>
      <c r="D10" s="45">
        <v>100.00000000000003</v>
      </c>
    </row>
    <row r="11" spans="1:4" x14ac:dyDescent="0.4">
      <c r="A11" s="13"/>
      <c r="B11" s="13"/>
    </row>
    <row r="14" spans="1:4" s="24" customFormat="1" ht="36.450000000000003" customHeight="1" x14ac:dyDescent="0.4">
      <c r="A14" s="53" t="s">
        <v>215</v>
      </c>
      <c r="B14" s="53"/>
      <c r="C14" s="53"/>
      <c r="D14" s="53"/>
    </row>
    <row r="15" spans="1:4" s="24" customFormat="1" ht="26.7" customHeight="1" x14ac:dyDescent="0.4">
      <c r="A15" s="53" t="s">
        <v>213</v>
      </c>
      <c r="B15" s="53"/>
      <c r="C15" s="53"/>
      <c r="D15" s="53"/>
    </row>
    <row r="16" spans="1:4" s="24" customFormat="1" ht="26.15" customHeight="1" x14ac:dyDescent="0.4">
      <c r="A16" s="53" t="s">
        <v>214</v>
      </c>
      <c r="B16" s="53"/>
      <c r="C16" s="53"/>
      <c r="D16" s="53"/>
    </row>
    <row r="17" spans="1:4" s="24" customFormat="1" x14ac:dyDescent="0.4">
      <c r="A17" s="25"/>
    </row>
    <row r="18" spans="1:4" s="24" customFormat="1" ht="26.15" customHeight="1" x14ac:dyDescent="0.4">
      <c r="A18" s="53" t="s">
        <v>211</v>
      </c>
      <c r="B18" s="53"/>
      <c r="C18" s="53"/>
      <c r="D18" s="53"/>
    </row>
    <row r="19" spans="1:4" s="24" customFormat="1" ht="26.15" customHeight="1" x14ac:dyDescent="0.4">
      <c r="A19" s="53" t="s">
        <v>231</v>
      </c>
      <c r="B19" s="53"/>
      <c r="C19" s="53"/>
      <c r="D19" s="53"/>
    </row>
    <row r="20" spans="1:4" x14ac:dyDescent="0.4">
      <c r="A20" s="31"/>
    </row>
  </sheetData>
  <mergeCells count="6">
    <mergeCell ref="A18:D18"/>
    <mergeCell ref="A19:D19"/>
    <mergeCell ref="A1:D1"/>
    <mergeCell ref="A14:D14"/>
    <mergeCell ref="A15:D15"/>
    <mergeCell ref="A16:D16"/>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2"/>
  <sheetViews>
    <sheetView workbookViewId="0">
      <selection activeCell="E11" sqref="E11"/>
    </sheetView>
  </sheetViews>
  <sheetFormatPr defaultRowHeight="14.6" x14ac:dyDescent="0.4"/>
  <cols>
    <col min="1" max="1" width="32.69140625" customWidth="1"/>
    <col min="2" max="2" width="19.3828125" customWidth="1"/>
    <col min="3" max="3" width="16.07421875" customWidth="1"/>
    <col min="4" max="4" width="20" customWidth="1"/>
    <col min="5" max="5" width="29.84375" customWidth="1"/>
    <col min="6" max="6" width="52.69140625" customWidth="1"/>
  </cols>
  <sheetData>
    <row r="1" spans="1:6" s="26" customFormat="1" ht="23.15" customHeight="1" thickBot="1" x14ac:dyDescent="0.45">
      <c r="A1" s="54" t="s">
        <v>177</v>
      </c>
      <c r="B1" s="54"/>
      <c r="C1" s="54"/>
      <c r="D1" s="54"/>
      <c r="E1" s="54"/>
      <c r="F1" s="54"/>
    </row>
    <row r="2" spans="1:6" s="26" customFormat="1" ht="23.15" customHeight="1" x14ac:dyDescent="0.4">
      <c r="A2" s="33" t="s">
        <v>25</v>
      </c>
      <c r="B2" s="18" t="s">
        <v>26</v>
      </c>
      <c r="C2" s="18" t="s">
        <v>170</v>
      </c>
      <c r="D2" s="18" t="s">
        <v>220</v>
      </c>
      <c r="E2" s="23" t="s">
        <v>173</v>
      </c>
      <c r="F2" s="20" t="s">
        <v>233</v>
      </c>
    </row>
    <row r="3" spans="1:6" ht="14.15" customHeight="1" x14ac:dyDescent="0.4">
      <c r="A3" s="34" t="s">
        <v>27</v>
      </c>
      <c r="B3" s="3" t="s">
        <v>28</v>
      </c>
      <c r="C3" s="4">
        <v>2306022.604497178</v>
      </c>
      <c r="D3" s="4">
        <v>486385.24996957922</v>
      </c>
      <c r="E3" s="5">
        <v>21.0919549973637</v>
      </c>
      <c r="F3" s="5">
        <v>23.786012016344159</v>
      </c>
    </row>
    <row r="4" spans="1:6" ht="14.15" customHeight="1" x14ac:dyDescent="0.4">
      <c r="A4" s="34" t="s">
        <v>29</v>
      </c>
      <c r="B4" s="3" t="s">
        <v>30</v>
      </c>
      <c r="C4" s="4">
        <v>2843199.4348934842</v>
      </c>
      <c r="D4" s="4">
        <v>619445.38834476424</v>
      </c>
      <c r="E4" s="5">
        <v>21.786913036860909</v>
      </c>
      <c r="F4" s="5">
        <v>30.293137901610041</v>
      </c>
    </row>
    <row r="5" spans="1:6" ht="14.15" customHeight="1" x14ac:dyDescent="0.4">
      <c r="A5" s="34" t="s">
        <v>31</v>
      </c>
      <c r="B5" s="3" t="s">
        <v>32</v>
      </c>
      <c r="C5" s="4">
        <v>39486135.497892387</v>
      </c>
      <c r="D5" s="4">
        <v>133301.740119022</v>
      </c>
      <c r="E5" s="5">
        <v>0.33759125434327991</v>
      </c>
      <c r="F5" s="5">
        <v>6.5189410913857966</v>
      </c>
    </row>
    <row r="6" spans="1:6" ht="14.15" customHeight="1" x14ac:dyDescent="0.4">
      <c r="A6" s="34" t="s">
        <v>33</v>
      </c>
      <c r="B6" s="3" t="s">
        <v>34</v>
      </c>
      <c r="C6" s="4">
        <v>27329.149841375969</v>
      </c>
      <c r="D6" s="4">
        <v>8662.7329702321549</v>
      </c>
      <c r="E6" s="5">
        <v>31.697776990914271</v>
      </c>
      <c r="F6" s="5">
        <v>0.42363922536139847</v>
      </c>
    </row>
    <row r="7" spans="1:6" ht="14.15" customHeight="1" x14ac:dyDescent="0.4">
      <c r="A7" s="34" t="s">
        <v>35</v>
      </c>
      <c r="B7" s="3" t="s">
        <v>36</v>
      </c>
      <c r="C7" s="4">
        <v>2851777.205923141</v>
      </c>
      <c r="D7" s="4">
        <v>790721.78676576563</v>
      </c>
      <c r="E7" s="5">
        <v>27.72733385775847</v>
      </c>
      <c r="F7" s="5">
        <v>38.669178234274113</v>
      </c>
    </row>
    <row r="8" spans="1:6" ht="14.15" customHeight="1" x14ac:dyDescent="0.4">
      <c r="A8" s="34" t="s">
        <v>37</v>
      </c>
      <c r="B8" s="3" t="s">
        <v>38</v>
      </c>
      <c r="C8" s="4">
        <v>5816.5205609710256</v>
      </c>
      <c r="D8" s="4">
        <v>685.83343959273725</v>
      </c>
      <c r="E8" s="5">
        <v>11.79112894734171</v>
      </c>
      <c r="F8" s="5">
        <v>3.3539755649217982E-2</v>
      </c>
    </row>
    <row r="9" spans="1:6" ht="14.15" customHeight="1" x14ac:dyDescent="0.4">
      <c r="A9" s="34" t="s">
        <v>39</v>
      </c>
      <c r="B9" s="3" t="s">
        <v>40</v>
      </c>
      <c r="C9" s="4">
        <v>8375942.9242471587</v>
      </c>
      <c r="D9" s="4">
        <v>84.410719240149987</v>
      </c>
      <c r="E9" s="5">
        <v>1.007775721534503E-3</v>
      </c>
      <c r="F9" s="5">
        <v>4.1279919205609904E-3</v>
      </c>
    </row>
    <row r="10" spans="1:6" ht="14.15" customHeight="1" x14ac:dyDescent="0.4">
      <c r="A10" s="34" t="s">
        <v>41</v>
      </c>
      <c r="B10" s="3" t="s">
        <v>42</v>
      </c>
      <c r="C10" s="4">
        <v>3629596.6189880092</v>
      </c>
      <c r="D10" s="4">
        <v>5550.1748116750559</v>
      </c>
      <c r="E10" s="5">
        <v>0.15291437022614751</v>
      </c>
      <c r="F10" s="5">
        <v>0.27142378345472118</v>
      </c>
    </row>
    <row r="11" spans="1:6" x14ac:dyDescent="0.4">
      <c r="A11" s="39" t="s">
        <v>12</v>
      </c>
      <c r="B11" s="40" t="s">
        <v>13</v>
      </c>
      <c r="C11" s="41">
        <f>SUM(C3:C10)</f>
        <v>59525819.956843704</v>
      </c>
      <c r="D11" s="41">
        <f>SUM(D3:D10)</f>
        <v>2044837.3171398712</v>
      </c>
      <c r="E11" s="46">
        <f>D11/C11*100</f>
        <v>3.4352106676100904</v>
      </c>
      <c r="F11" s="46">
        <f>SUM(F3:F10)</f>
        <v>100</v>
      </c>
    </row>
    <row r="12" spans="1:6" x14ac:dyDescent="0.4">
      <c r="A12" s="13"/>
      <c r="B12" s="13"/>
    </row>
    <row r="14" spans="1:6" x14ac:dyDescent="0.4">
      <c r="A14" s="24"/>
      <c r="B14" s="24"/>
      <c r="C14" s="24"/>
      <c r="D14" s="24"/>
      <c r="E14" s="24"/>
      <c r="F14" s="24"/>
    </row>
    <row r="15" spans="1:6" x14ac:dyDescent="0.4">
      <c r="A15" s="52" t="s">
        <v>218</v>
      </c>
      <c r="B15" s="52"/>
      <c r="C15" s="52"/>
      <c r="D15" s="52"/>
      <c r="E15" s="52"/>
      <c r="F15" s="52"/>
    </row>
    <row r="16" spans="1:6" ht="20.5" customHeight="1" x14ac:dyDescent="0.4">
      <c r="A16" s="52" t="s">
        <v>216</v>
      </c>
      <c r="B16" s="52"/>
      <c r="C16" s="52"/>
      <c r="D16" s="52"/>
      <c r="E16" s="52"/>
      <c r="F16" s="52"/>
    </row>
    <row r="17" spans="1:6" ht="20.5" customHeight="1" x14ac:dyDescent="0.4">
      <c r="A17" s="52" t="s">
        <v>219</v>
      </c>
      <c r="B17" s="52"/>
      <c r="C17" s="52"/>
      <c r="D17" s="52"/>
      <c r="E17" s="52"/>
      <c r="F17" s="52"/>
    </row>
    <row r="18" spans="1:6" x14ac:dyDescent="0.4">
      <c r="A18" s="19"/>
      <c r="B18" s="19"/>
      <c r="C18" s="19"/>
      <c r="D18" s="19"/>
      <c r="E18" s="19"/>
      <c r="F18" s="19"/>
    </row>
    <row r="19" spans="1:6" ht="25.95" customHeight="1" x14ac:dyDescent="0.4">
      <c r="A19" s="52" t="s">
        <v>217</v>
      </c>
      <c r="B19" s="52"/>
      <c r="C19" s="52"/>
      <c r="D19" s="52"/>
      <c r="E19" s="52"/>
      <c r="F19" s="52"/>
    </row>
    <row r="20" spans="1:6" x14ac:dyDescent="0.4">
      <c r="A20" s="52" t="s">
        <v>211</v>
      </c>
      <c r="B20" s="52"/>
      <c r="C20" s="52"/>
      <c r="D20" s="52"/>
      <c r="E20" s="52"/>
      <c r="F20" s="52"/>
    </row>
    <row r="21" spans="1:6" ht="25.5" customHeight="1" x14ac:dyDescent="0.4">
      <c r="A21" s="52" t="s">
        <v>231</v>
      </c>
      <c r="B21" s="52"/>
      <c r="C21" s="52"/>
      <c r="D21" s="52"/>
      <c r="E21" s="52"/>
      <c r="F21" s="52"/>
    </row>
    <row r="22" spans="1:6" x14ac:dyDescent="0.4">
      <c r="A22" s="32" t="s">
        <v>232</v>
      </c>
    </row>
  </sheetData>
  <sortState xmlns:xlrd2="http://schemas.microsoft.com/office/spreadsheetml/2017/richdata2" ref="A3:F10">
    <sortCondition ref="A3:A10"/>
  </sortState>
  <mergeCells count="7">
    <mergeCell ref="A1:F1"/>
    <mergeCell ref="A20:F20"/>
    <mergeCell ref="A21:F21"/>
    <mergeCell ref="A15:F15"/>
    <mergeCell ref="A16:F16"/>
    <mergeCell ref="A17:F17"/>
    <mergeCell ref="A19:F19"/>
  </mergeCells>
  <pageMargins left="0.7" right="0.7" top="0.75" bottom="0.75" header="0.3" footer="0.3"/>
  <headerFooter>
    <oddHeader>&amp;C&amp;"Calibri"&amp;12&amp;KFF0000 OFFICIAL&amp;1#_x000D_</oddHeader>
    <oddFooter>&amp;C_x000D_&amp;1#&amp;"Calibri"&amp;12&amp;KFF0000 OFFICIAL</oddFooter>
  </headerFooter>
  <ignoredErrors>
    <ignoredError sqref="E11" formula="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workbookViewId="0">
      <selection activeCell="A16" sqref="A16:E16"/>
    </sheetView>
  </sheetViews>
  <sheetFormatPr defaultColWidth="26.23046875" defaultRowHeight="14.6" x14ac:dyDescent="0.4"/>
  <cols>
    <col min="2" max="2" width="18.07421875" customWidth="1"/>
    <col min="3" max="5" width="16.15234375" customWidth="1"/>
  </cols>
  <sheetData>
    <row r="1" spans="1:5" ht="23.15" customHeight="1" thickBot="1" x14ac:dyDescent="0.45">
      <c r="A1" s="51" t="s">
        <v>176</v>
      </c>
      <c r="B1" s="51"/>
      <c r="C1" s="51"/>
      <c r="D1" s="51"/>
      <c r="E1" s="51"/>
    </row>
    <row r="2" spans="1:5" ht="23.15" customHeight="1" x14ac:dyDescent="0.4">
      <c r="A2" s="36" t="s">
        <v>25</v>
      </c>
      <c r="B2" s="37" t="s">
        <v>26</v>
      </c>
      <c r="C2" s="37" t="s">
        <v>9</v>
      </c>
      <c r="D2" s="37" t="s">
        <v>11</v>
      </c>
      <c r="E2" s="38" t="s">
        <v>221</v>
      </c>
    </row>
    <row r="3" spans="1:5" x14ac:dyDescent="0.4">
      <c r="A3" s="47" t="s">
        <v>27</v>
      </c>
      <c r="B3" s="4" t="s">
        <v>28</v>
      </c>
      <c r="C3" s="4">
        <v>0</v>
      </c>
      <c r="D3" s="4">
        <v>486385.24996957899</v>
      </c>
      <c r="E3" s="48">
        <f>SUM(C3:D3)</f>
        <v>486385.24996957899</v>
      </c>
    </row>
    <row r="4" spans="1:5" x14ac:dyDescent="0.4">
      <c r="A4" s="47" t="s">
        <v>29</v>
      </c>
      <c r="B4" s="4" t="s">
        <v>30</v>
      </c>
      <c r="C4" s="4">
        <v>0</v>
      </c>
      <c r="D4" s="4">
        <v>619445.38834476401</v>
      </c>
      <c r="E4" s="48">
        <f t="shared" ref="E4:E10" si="0">SUM(C4:D4)</f>
        <v>619445.38834476401</v>
      </c>
    </row>
    <row r="5" spans="1:5" x14ac:dyDescent="0.4">
      <c r="A5" s="47" t="s">
        <v>31</v>
      </c>
      <c r="B5" s="4" t="s">
        <v>32</v>
      </c>
      <c r="C5" s="4">
        <v>0</v>
      </c>
      <c r="D5" s="4">
        <v>133301.740119022</v>
      </c>
      <c r="E5" s="48">
        <f t="shared" si="0"/>
        <v>133301.740119022</v>
      </c>
    </row>
    <row r="6" spans="1:5" x14ac:dyDescent="0.4">
      <c r="A6" s="47" t="s">
        <v>33</v>
      </c>
      <c r="B6" s="4" t="s">
        <v>34</v>
      </c>
      <c r="C6" s="4">
        <v>0</v>
      </c>
      <c r="D6" s="4">
        <v>8662.7329702321495</v>
      </c>
      <c r="E6" s="48">
        <f t="shared" si="0"/>
        <v>8662.7329702321495</v>
      </c>
    </row>
    <row r="7" spans="1:5" x14ac:dyDescent="0.4">
      <c r="A7" s="47" t="s">
        <v>37</v>
      </c>
      <c r="B7" s="4" t="s">
        <v>38</v>
      </c>
      <c r="C7" s="4">
        <v>5.8041882293757601</v>
      </c>
      <c r="D7" s="4">
        <v>680.02925136336103</v>
      </c>
      <c r="E7" s="48">
        <f t="shared" si="0"/>
        <v>685.8334395927368</v>
      </c>
    </row>
    <row r="8" spans="1:5" x14ac:dyDescent="0.4">
      <c r="A8" s="47" t="s">
        <v>35</v>
      </c>
      <c r="B8" s="4" t="s">
        <v>36</v>
      </c>
      <c r="C8" s="4">
        <v>0</v>
      </c>
      <c r="D8" s="4">
        <v>790721.78676576505</v>
      </c>
      <c r="E8" s="48">
        <f t="shared" si="0"/>
        <v>790721.78676576505</v>
      </c>
    </row>
    <row r="9" spans="1:5" x14ac:dyDescent="0.4">
      <c r="A9" s="47" t="s">
        <v>39</v>
      </c>
      <c r="B9" s="4" t="s">
        <v>40</v>
      </c>
      <c r="C9" s="4">
        <v>84.410719240149902</v>
      </c>
      <c r="D9" s="4">
        <v>0</v>
      </c>
      <c r="E9" s="48">
        <f t="shared" si="0"/>
        <v>84.410719240149902</v>
      </c>
    </row>
    <row r="10" spans="1:5" x14ac:dyDescent="0.4">
      <c r="A10" s="47" t="s">
        <v>41</v>
      </c>
      <c r="B10" s="4" t="s">
        <v>42</v>
      </c>
      <c r="C10" s="4">
        <v>67.3333490555259</v>
      </c>
      <c r="D10" s="4">
        <v>5482.8414626195299</v>
      </c>
      <c r="E10" s="48">
        <f t="shared" si="0"/>
        <v>5550.1748116750559</v>
      </c>
    </row>
    <row r="11" spans="1:5" x14ac:dyDescent="0.4">
      <c r="A11" s="39" t="s">
        <v>12</v>
      </c>
      <c r="B11" s="41">
        <v>0</v>
      </c>
      <c r="C11" s="41">
        <f>SUM(C3:C10)</f>
        <v>157.54825652505156</v>
      </c>
      <c r="D11" s="41">
        <f>SUM(D3:D10)</f>
        <v>2044679.7688833452</v>
      </c>
      <c r="E11" s="49">
        <f>SUM(E3:E10)</f>
        <v>2044837.3171398703</v>
      </c>
    </row>
    <row r="12" spans="1:5" x14ac:dyDescent="0.4">
      <c r="A12" s="13"/>
      <c r="B12" s="13"/>
    </row>
    <row r="14" spans="1:5" ht="22.95" customHeight="1" x14ac:dyDescent="0.4"/>
    <row r="15" spans="1:5" ht="22.95" customHeight="1" x14ac:dyDescent="0.4">
      <c r="A15" s="53" t="s">
        <v>213</v>
      </c>
      <c r="B15" s="53"/>
      <c r="C15" s="53"/>
      <c r="D15" s="53"/>
      <c r="E15" s="53"/>
    </row>
    <row r="16" spans="1:5" ht="19.95" customHeight="1" x14ac:dyDescent="0.4">
      <c r="A16" s="53" t="s">
        <v>216</v>
      </c>
      <c r="B16" s="53"/>
      <c r="C16" s="53"/>
      <c r="D16" s="53"/>
      <c r="E16" s="53"/>
    </row>
    <row r="17" spans="1:5" x14ac:dyDescent="0.4">
      <c r="A17" s="25"/>
      <c r="B17" s="25"/>
      <c r="C17" s="25"/>
      <c r="D17" s="25"/>
      <c r="E17" s="25"/>
    </row>
    <row r="18" spans="1:5" ht="22.95" customHeight="1" x14ac:dyDescent="0.4">
      <c r="A18" s="53" t="s">
        <v>43</v>
      </c>
      <c r="B18" s="53"/>
      <c r="C18" s="53"/>
      <c r="D18" s="53"/>
      <c r="E18" s="53"/>
    </row>
    <row r="19" spans="1:5" ht="24.45" customHeight="1" x14ac:dyDescent="0.4">
      <c r="A19" s="53" t="s">
        <v>217</v>
      </c>
      <c r="B19" s="53"/>
      <c r="C19" s="53"/>
      <c r="D19" s="53"/>
      <c r="E19" s="53"/>
    </row>
    <row r="20" spans="1:5" ht="25.95" customHeight="1" x14ac:dyDescent="0.4">
      <c r="A20" s="53" t="s">
        <v>211</v>
      </c>
      <c r="B20" s="53"/>
      <c r="C20" s="53"/>
      <c r="D20" s="53"/>
      <c r="E20" s="53"/>
    </row>
    <row r="21" spans="1:5" ht="24.45" customHeight="1" x14ac:dyDescent="0.4">
      <c r="A21" s="53" t="s">
        <v>231</v>
      </c>
      <c r="B21" s="53"/>
      <c r="C21" s="53"/>
      <c r="D21" s="53"/>
      <c r="E21" s="53"/>
    </row>
    <row r="22" spans="1:5" x14ac:dyDescent="0.4">
      <c r="A22" s="32" t="s">
        <v>232</v>
      </c>
    </row>
  </sheetData>
  <sortState xmlns:xlrd2="http://schemas.microsoft.com/office/spreadsheetml/2017/richdata2" ref="A3:E10">
    <sortCondition ref="A3:A10"/>
  </sortState>
  <mergeCells count="7">
    <mergeCell ref="A1:E1"/>
    <mergeCell ref="A21:E21"/>
    <mergeCell ref="A15:E15"/>
    <mergeCell ref="A16:E16"/>
    <mergeCell ref="A18:E18"/>
    <mergeCell ref="A19:E19"/>
    <mergeCell ref="A20:E20"/>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workbookViewId="0">
      <selection activeCell="A2" sqref="A2:J11"/>
    </sheetView>
  </sheetViews>
  <sheetFormatPr defaultRowHeight="14.6" x14ac:dyDescent="0.4"/>
  <cols>
    <col min="1" max="1" width="24.15234375" customWidth="1"/>
    <col min="2" max="2" width="19" customWidth="1"/>
    <col min="3" max="9" width="11.69140625" customWidth="1"/>
    <col min="10" max="10" width="11.23046875" customWidth="1"/>
  </cols>
  <sheetData>
    <row r="1" spans="1:11" s="26" customFormat="1" ht="23.15" customHeight="1" thickBot="1" x14ac:dyDescent="0.45">
      <c r="A1" s="51" t="s">
        <v>175</v>
      </c>
      <c r="B1" s="51"/>
      <c r="C1" s="51"/>
      <c r="D1" s="51"/>
      <c r="E1" s="51"/>
      <c r="F1" s="51"/>
      <c r="G1" s="51"/>
      <c r="H1" s="51"/>
      <c r="I1" s="51"/>
      <c r="J1" s="51"/>
    </row>
    <row r="2" spans="1:11" s="26" customFormat="1" ht="23.15" customHeight="1" x14ac:dyDescent="0.4">
      <c r="A2" s="36" t="s">
        <v>25</v>
      </c>
      <c r="B2" s="37" t="s">
        <v>26</v>
      </c>
      <c r="C2" s="37" t="s">
        <v>18</v>
      </c>
      <c r="D2" s="37" t="s">
        <v>19</v>
      </c>
      <c r="E2" s="37" t="s">
        <v>20</v>
      </c>
      <c r="F2" s="37" t="s">
        <v>21</v>
      </c>
      <c r="G2" s="37" t="s">
        <v>22</v>
      </c>
      <c r="H2" s="37" t="s">
        <v>24</v>
      </c>
      <c r="I2" s="37" t="s">
        <v>23</v>
      </c>
      <c r="J2" s="38" t="s">
        <v>222</v>
      </c>
    </row>
    <row r="3" spans="1:11" x14ac:dyDescent="0.4">
      <c r="A3" s="47" t="s">
        <v>27</v>
      </c>
      <c r="B3" s="4" t="s">
        <v>28</v>
      </c>
      <c r="C3" s="4">
        <v>0</v>
      </c>
      <c r="D3" s="4">
        <v>0</v>
      </c>
      <c r="E3" s="4">
        <v>486385.24996957899</v>
      </c>
      <c r="F3" s="4">
        <v>0</v>
      </c>
      <c r="G3" s="4">
        <v>0</v>
      </c>
      <c r="H3" s="4">
        <v>0</v>
      </c>
      <c r="I3" s="4">
        <v>0</v>
      </c>
      <c r="J3" s="50">
        <f>SUM(C3:I3)</f>
        <v>486385.24996957899</v>
      </c>
      <c r="K3" s="2"/>
    </row>
    <row r="4" spans="1:11" x14ac:dyDescent="0.4">
      <c r="A4" s="47" t="s">
        <v>29</v>
      </c>
      <c r="B4" s="4" t="s">
        <v>30</v>
      </c>
      <c r="C4" s="4">
        <v>0</v>
      </c>
      <c r="D4" s="4">
        <v>0</v>
      </c>
      <c r="E4" s="4">
        <v>619445.38834476413</v>
      </c>
      <c r="F4" s="4">
        <v>0</v>
      </c>
      <c r="G4" s="4">
        <v>0</v>
      </c>
      <c r="H4" s="4">
        <v>0</v>
      </c>
      <c r="I4" s="4">
        <v>0</v>
      </c>
      <c r="J4" s="50">
        <f t="shared" ref="J4:J10" si="0">SUM(C4:I4)</f>
        <v>619445.38834476413</v>
      </c>
      <c r="K4" s="2"/>
    </row>
    <row r="5" spans="1:11" x14ac:dyDescent="0.4">
      <c r="A5" s="47" t="s">
        <v>31</v>
      </c>
      <c r="B5" s="4" t="s">
        <v>32</v>
      </c>
      <c r="C5" s="4">
        <v>0</v>
      </c>
      <c r="D5" s="4">
        <v>0</v>
      </c>
      <c r="E5" s="4">
        <v>133301.740119022</v>
      </c>
      <c r="F5" s="4">
        <v>0</v>
      </c>
      <c r="G5" s="4">
        <v>0</v>
      </c>
      <c r="H5" s="4">
        <v>0</v>
      </c>
      <c r="I5" s="4">
        <v>0</v>
      </c>
      <c r="J5" s="50">
        <f t="shared" si="0"/>
        <v>133301.740119022</v>
      </c>
      <c r="K5" s="2"/>
    </row>
    <row r="6" spans="1:11" x14ac:dyDescent="0.4">
      <c r="A6" s="47" t="s">
        <v>33</v>
      </c>
      <c r="B6" s="4" t="s">
        <v>34</v>
      </c>
      <c r="C6" s="4">
        <v>0</v>
      </c>
      <c r="D6" s="4">
        <v>0</v>
      </c>
      <c r="E6" s="4">
        <v>8662.7329702321549</v>
      </c>
      <c r="F6" s="4">
        <v>0</v>
      </c>
      <c r="G6" s="4">
        <v>0</v>
      </c>
      <c r="H6" s="4">
        <v>0</v>
      </c>
      <c r="I6" s="4">
        <v>0</v>
      </c>
      <c r="J6" s="50">
        <f t="shared" si="0"/>
        <v>8662.7329702321549</v>
      </c>
      <c r="K6" s="2"/>
    </row>
    <row r="7" spans="1:11" x14ac:dyDescent="0.4">
      <c r="A7" s="47" t="s">
        <v>37</v>
      </c>
      <c r="B7" s="4" t="s">
        <v>38</v>
      </c>
      <c r="C7" s="4">
        <v>0</v>
      </c>
      <c r="D7" s="4">
        <v>0</v>
      </c>
      <c r="E7" s="4">
        <v>680.02925136336148</v>
      </c>
      <c r="F7" s="4">
        <v>0</v>
      </c>
      <c r="G7" s="4">
        <v>5.804188229375761</v>
      </c>
      <c r="H7" s="4">
        <v>0</v>
      </c>
      <c r="I7" s="4">
        <v>0</v>
      </c>
      <c r="J7" s="50">
        <f t="shared" si="0"/>
        <v>685.83343959273725</v>
      </c>
      <c r="K7" s="2"/>
    </row>
    <row r="8" spans="1:11" x14ac:dyDescent="0.4">
      <c r="A8" s="47" t="s">
        <v>35</v>
      </c>
      <c r="B8" s="4" t="s">
        <v>36</v>
      </c>
      <c r="C8" s="4">
        <v>0</v>
      </c>
      <c r="D8" s="4">
        <v>0</v>
      </c>
      <c r="E8" s="4">
        <v>790721.78676576575</v>
      </c>
      <c r="F8" s="4">
        <v>0</v>
      </c>
      <c r="G8" s="4">
        <v>0</v>
      </c>
      <c r="H8" s="4">
        <v>0</v>
      </c>
      <c r="I8" s="4">
        <v>0</v>
      </c>
      <c r="J8" s="50">
        <f t="shared" si="0"/>
        <v>790721.78676576575</v>
      </c>
      <c r="K8" s="2"/>
    </row>
    <row r="9" spans="1:11" x14ac:dyDescent="0.4">
      <c r="A9" s="47" t="s">
        <v>39</v>
      </c>
      <c r="B9" s="4" t="s">
        <v>40</v>
      </c>
      <c r="C9" s="4">
        <v>0</v>
      </c>
      <c r="D9" s="4">
        <v>0</v>
      </c>
      <c r="E9" s="4">
        <v>0</v>
      </c>
      <c r="F9" s="4">
        <v>0</v>
      </c>
      <c r="G9" s="4">
        <v>84.410719240149987</v>
      </c>
      <c r="H9" s="4">
        <v>0</v>
      </c>
      <c r="I9" s="4">
        <v>0</v>
      </c>
      <c r="J9" s="50">
        <f t="shared" si="0"/>
        <v>84.410719240149987</v>
      </c>
      <c r="K9" s="2"/>
    </row>
    <row r="10" spans="1:11" x14ac:dyDescent="0.4">
      <c r="A10" s="47" t="s">
        <v>41</v>
      </c>
      <c r="B10" s="4" t="s">
        <v>42</v>
      </c>
      <c r="C10" s="4">
        <v>0</v>
      </c>
      <c r="D10" s="4">
        <v>0</v>
      </c>
      <c r="E10" s="4">
        <v>5482.8414626195317</v>
      </c>
      <c r="F10" s="4">
        <v>0</v>
      </c>
      <c r="G10" s="4">
        <v>67.333349055525943</v>
      </c>
      <c r="H10" s="4">
        <v>0</v>
      </c>
      <c r="I10" s="4">
        <v>0</v>
      </c>
      <c r="J10" s="50">
        <f t="shared" si="0"/>
        <v>5550.1748116750578</v>
      </c>
      <c r="K10" s="2"/>
    </row>
    <row r="11" spans="1:11" x14ac:dyDescent="0.4">
      <c r="A11" s="39" t="s">
        <v>12</v>
      </c>
      <c r="B11" s="41">
        <v>0</v>
      </c>
      <c r="C11" s="41">
        <v>0</v>
      </c>
      <c r="D11" s="41">
        <v>0</v>
      </c>
      <c r="E11" s="41">
        <f>SUM(E3:E10)</f>
        <v>2044679.7688833461</v>
      </c>
      <c r="F11" s="41">
        <f t="shared" ref="F11:J11" si="1">SUM(F3:F10)</f>
        <v>0</v>
      </c>
      <c r="G11" s="41">
        <f t="shared" si="1"/>
        <v>157.54825652505167</v>
      </c>
      <c r="H11" s="41">
        <f t="shared" si="1"/>
        <v>0</v>
      </c>
      <c r="I11" s="41">
        <f t="shared" si="1"/>
        <v>0</v>
      </c>
      <c r="J11" s="49">
        <f t="shared" si="1"/>
        <v>2044837.3171398707</v>
      </c>
      <c r="K11" s="2"/>
    </row>
    <row r="12" spans="1:11" x14ac:dyDescent="0.4">
      <c r="A12" s="13"/>
      <c r="B12" s="13"/>
    </row>
    <row r="14" spans="1:11" x14ac:dyDescent="0.4">
      <c r="A14" s="24"/>
      <c r="B14" s="24"/>
      <c r="C14" s="24"/>
      <c r="D14" s="24"/>
      <c r="E14" s="24"/>
      <c r="F14" s="24"/>
      <c r="G14" s="24"/>
      <c r="H14" s="24"/>
      <c r="I14" s="24"/>
      <c r="J14" s="24"/>
    </row>
    <row r="15" spans="1:11" ht="26.15" customHeight="1" x14ac:dyDescent="0.4">
      <c r="A15" s="52" t="s">
        <v>218</v>
      </c>
      <c r="B15" s="52"/>
      <c r="C15" s="52"/>
      <c r="D15" s="52"/>
      <c r="E15" s="52"/>
      <c r="F15" s="52"/>
      <c r="G15" s="52"/>
      <c r="H15" s="52"/>
    </row>
    <row r="16" spans="1:11" ht="26.15" customHeight="1" x14ac:dyDescent="0.4">
      <c r="A16" s="52" t="s">
        <v>216</v>
      </c>
      <c r="B16" s="52"/>
      <c r="C16" s="52"/>
      <c r="D16" s="52"/>
      <c r="E16" s="52"/>
      <c r="F16" s="52"/>
      <c r="G16" s="52"/>
      <c r="H16" s="52"/>
    </row>
    <row r="17" spans="1:8" x14ac:dyDescent="0.4">
      <c r="A17" s="19"/>
      <c r="B17" s="19"/>
      <c r="C17" s="19"/>
      <c r="D17" s="19"/>
      <c r="E17" s="19"/>
      <c r="F17" s="19"/>
      <c r="G17" s="19"/>
      <c r="H17" s="19"/>
    </row>
    <row r="18" spans="1:8" ht="34.950000000000003" customHeight="1" x14ac:dyDescent="0.4">
      <c r="A18" s="52" t="s">
        <v>217</v>
      </c>
      <c r="B18" s="52"/>
      <c r="C18" s="52"/>
      <c r="D18" s="52"/>
      <c r="E18" s="52"/>
      <c r="F18" s="52"/>
      <c r="G18" s="52"/>
      <c r="H18" s="52"/>
    </row>
    <row r="19" spans="1:8" ht="26.15" customHeight="1" x14ac:dyDescent="0.4">
      <c r="A19" s="52" t="s">
        <v>211</v>
      </c>
      <c r="B19" s="52"/>
      <c r="C19" s="52"/>
      <c r="D19" s="52"/>
      <c r="E19" s="52"/>
      <c r="F19" s="52"/>
      <c r="G19" s="52"/>
      <c r="H19" s="52"/>
    </row>
    <row r="20" spans="1:8" ht="26.15" customHeight="1" x14ac:dyDescent="0.4">
      <c r="A20" s="52" t="s">
        <v>231</v>
      </c>
      <c r="B20" s="52"/>
      <c r="C20" s="52"/>
      <c r="D20" s="52"/>
      <c r="E20" s="52"/>
      <c r="F20" s="52"/>
      <c r="G20" s="52"/>
      <c r="H20" s="52"/>
    </row>
    <row r="21" spans="1:8" x14ac:dyDescent="0.4">
      <c r="A21" s="32" t="s">
        <v>232</v>
      </c>
    </row>
  </sheetData>
  <sortState xmlns:xlrd2="http://schemas.microsoft.com/office/spreadsheetml/2017/richdata2" ref="A3:J10">
    <sortCondition ref="A3:A10"/>
  </sortState>
  <mergeCells count="6">
    <mergeCell ref="A19:H19"/>
    <mergeCell ref="A20:H20"/>
    <mergeCell ref="A1:J1"/>
    <mergeCell ref="A15:H15"/>
    <mergeCell ref="A16:H16"/>
    <mergeCell ref="A18:H18"/>
  </mergeCells>
  <pageMargins left="0.7" right="0.7" top="0.75" bottom="0.75" header="0.3" footer="0.3"/>
  <headerFooter>
    <oddHeader>&amp;C&amp;"Calibri"&amp;12&amp;KFF0000 OFFICIAL&amp;1#_x000D_</oddHeader>
    <oddFooter>&amp;C_x000D_&amp;1#&amp;"Calibri"&amp;12&amp;KFF0000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4"/>
  <sheetViews>
    <sheetView tabSelected="1" workbookViewId="0">
      <pane ySplit="2" topLeftCell="A3" activePane="bottomLeft" state="frozen"/>
      <selection pane="bottomLeft" sqref="A1:F1"/>
    </sheetView>
  </sheetViews>
  <sheetFormatPr defaultRowHeight="14.6" x14ac:dyDescent="0.4"/>
  <cols>
    <col min="1" max="3" width="35.69140625" customWidth="1"/>
    <col min="4" max="4" width="25.69140625" customWidth="1"/>
    <col min="5" max="6" width="20.69140625" customWidth="1"/>
  </cols>
  <sheetData>
    <row r="1" spans="1:8" s="26" customFormat="1" ht="23.15" customHeight="1" thickBot="1" x14ac:dyDescent="0.45">
      <c r="A1" s="51" t="s">
        <v>174</v>
      </c>
      <c r="B1" s="51"/>
      <c r="C1" s="51"/>
      <c r="D1" s="51"/>
      <c r="E1" s="51"/>
      <c r="F1" s="51"/>
    </row>
    <row r="2" spans="1:8" s="26" customFormat="1" ht="23.15" customHeight="1" x14ac:dyDescent="0.4">
      <c r="A2" s="18" t="s">
        <v>26</v>
      </c>
      <c r="B2" s="18" t="s">
        <v>44</v>
      </c>
      <c r="C2" s="18" t="s">
        <v>45</v>
      </c>
      <c r="D2" s="18" t="s">
        <v>172</v>
      </c>
      <c r="E2" s="23" t="s">
        <v>171</v>
      </c>
      <c r="F2" s="18" t="s">
        <v>223</v>
      </c>
      <c r="G2" s="27"/>
    </row>
    <row r="3" spans="1:8" ht="14.15" customHeight="1" x14ac:dyDescent="0.4">
      <c r="A3" s="3" t="s">
        <v>28</v>
      </c>
      <c r="B3" s="3" t="s">
        <v>46</v>
      </c>
      <c r="C3" s="3" t="s">
        <v>47</v>
      </c>
      <c r="D3" s="4">
        <v>1038621.409</v>
      </c>
      <c r="E3" s="4">
        <v>421431.08309683547</v>
      </c>
      <c r="F3" s="5">
        <v>40.576005794314938</v>
      </c>
      <c r="G3" s="2"/>
    </row>
    <row r="4" spans="1:8" ht="14.15" customHeight="1" x14ac:dyDescent="0.4">
      <c r="A4" s="3" t="s">
        <v>13</v>
      </c>
      <c r="B4" s="3" t="s">
        <v>48</v>
      </c>
      <c r="C4" s="3" t="s">
        <v>49</v>
      </c>
      <c r="D4" s="4">
        <v>1267401.196</v>
      </c>
      <c r="E4" s="4">
        <v>64954.166855052703</v>
      </c>
      <c r="F4" s="5">
        <v>5.1249886034550256</v>
      </c>
      <c r="G4" s="2"/>
    </row>
    <row r="5" spans="1:8" ht="15" thickBot="1" x14ac:dyDescent="0.45">
      <c r="A5" s="6" t="s">
        <v>50</v>
      </c>
      <c r="B5" s="6" t="s">
        <v>13</v>
      </c>
      <c r="C5" s="6" t="s">
        <v>13</v>
      </c>
      <c r="D5" s="7">
        <v>2306022.605</v>
      </c>
      <c r="E5" s="7">
        <v>486385.24995188817</v>
      </c>
      <c r="F5" s="8">
        <v>21.091954991997493</v>
      </c>
      <c r="G5" s="2"/>
    </row>
    <row r="6" spans="1:8" ht="14.15" customHeight="1" x14ac:dyDescent="0.4">
      <c r="A6" s="3" t="s">
        <v>30</v>
      </c>
      <c r="B6" s="3" t="s">
        <v>29</v>
      </c>
      <c r="C6" s="3" t="s">
        <v>51</v>
      </c>
      <c r="D6" s="4">
        <v>2843199.4350000001</v>
      </c>
      <c r="E6" s="4">
        <v>619445.38834476296</v>
      </c>
      <c r="F6" s="5">
        <v>21.786913036044648</v>
      </c>
      <c r="G6" s="2"/>
    </row>
    <row r="7" spans="1:8" ht="15" thickBot="1" x14ac:dyDescent="0.45">
      <c r="A7" s="6" t="s">
        <v>52</v>
      </c>
      <c r="B7" s="6" t="s">
        <v>13</v>
      </c>
      <c r="C7" s="6" t="s">
        <v>13</v>
      </c>
      <c r="D7" s="7">
        <v>2843199.4350000001</v>
      </c>
      <c r="E7" s="7">
        <v>619445.38834476296</v>
      </c>
      <c r="F7" s="8">
        <v>21.786913036044652</v>
      </c>
      <c r="G7" s="2"/>
    </row>
    <row r="8" spans="1:8" ht="14.15" customHeight="1" x14ac:dyDescent="0.4">
      <c r="A8" s="3" t="s">
        <v>32</v>
      </c>
      <c r="B8" s="3" t="s">
        <v>53</v>
      </c>
      <c r="C8" s="3" t="s">
        <v>54</v>
      </c>
      <c r="D8" s="4">
        <v>722845.20299999998</v>
      </c>
      <c r="E8" s="4">
        <v>0</v>
      </c>
      <c r="F8" s="5">
        <v>0</v>
      </c>
      <c r="G8" s="2"/>
    </row>
    <row r="9" spans="1:8" ht="14.15" customHeight="1" x14ac:dyDescent="0.4">
      <c r="A9" s="3" t="s">
        <v>13</v>
      </c>
      <c r="B9" s="3" t="s">
        <v>55</v>
      </c>
      <c r="C9" s="3" t="s">
        <v>56</v>
      </c>
      <c r="D9" s="4">
        <v>375667.60600000003</v>
      </c>
      <c r="E9" s="4">
        <v>0</v>
      </c>
      <c r="F9" s="5">
        <v>0</v>
      </c>
      <c r="G9" s="2"/>
    </row>
    <row r="10" spans="1:8" ht="14.15" customHeight="1" x14ac:dyDescent="0.4">
      <c r="A10" s="3" t="s">
        <v>13</v>
      </c>
      <c r="B10" s="3" t="s">
        <v>57</v>
      </c>
      <c r="C10" s="3" t="s">
        <v>58</v>
      </c>
      <c r="D10" s="4">
        <v>289541.08600000001</v>
      </c>
      <c r="E10" s="4">
        <v>0</v>
      </c>
      <c r="F10" s="5">
        <v>0</v>
      </c>
      <c r="G10" s="2"/>
    </row>
    <row r="11" spans="1:8" ht="14.15" customHeight="1" x14ac:dyDescent="0.4">
      <c r="A11" s="3" t="s">
        <v>13</v>
      </c>
      <c r="B11" s="3" t="s">
        <v>59</v>
      </c>
      <c r="C11" s="3" t="s">
        <v>60</v>
      </c>
      <c r="D11" s="4">
        <v>82932.096999999994</v>
      </c>
      <c r="E11" s="4">
        <v>0</v>
      </c>
      <c r="F11" s="5">
        <v>0</v>
      </c>
      <c r="G11" s="2"/>
    </row>
    <row r="12" spans="1:8" ht="14.15" customHeight="1" x14ac:dyDescent="0.4">
      <c r="A12" s="3" t="s">
        <v>13</v>
      </c>
      <c r="B12" s="3" t="s">
        <v>61</v>
      </c>
      <c r="C12" s="3" t="s">
        <v>62</v>
      </c>
      <c r="D12" s="4">
        <v>25698395.16</v>
      </c>
      <c r="E12" s="4">
        <v>133301.7401190227</v>
      </c>
      <c r="F12" s="5">
        <v>0.51871620499675841</v>
      </c>
      <c r="G12" s="2"/>
    </row>
    <row r="13" spans="1:8" ht="14.15" customHeight="1" x14ac:dyDescent="0.4">
      <c r="A13" s="3" t="s">
        <v>13</v>
      </c>
      <c r="B13" s="3" t="s">
        <v>63</v>
      </c>
      <c r="C13" s="3" t="s">
        <v>64</v>
      </c>
      <c r="D13" s="4">
        <v>12316754.346000001</v>
      </c>
      <c r="E13" s="4">
        <v>0</v>
      </c>
      <c r="F13" s="5">
        <v>0</v>
      </c>
      <c r="G13" s="2"/>
    </row>
    <row r="14" spans="1:8" ht="14.15" customHeight="1" thickBot="1" x14ac:dyDescent="0.45">
      <c r="A14" s="6" t="s">
        <v>65</v>
      </c>
      <c r="B14" s="6" t="s">
        <v>13</v>
      </c>
      <c r="C14" s="6" t="s">
        <v>13</v>
      </c>
      <c r="D14" s="7">
        <v>39486135.497999996</v>
      </c>
      <c r="E14" s="7">
        <v>133301.7401190227</v>
      </c>
      <c r="F14" s="8">
        <v>0.33759125434236159</v>
      </c>
      <c r="G14" s="2"/>
    </row>
    <row r="15" spans="1:8" x14ac:dyDescent="0.4">
      <c r="A15" s="3" t="s">
        <v>34</v>
      </c>
      <c r="B15" s="3" t="s">
        <v>66</v>
      </c>
      <c r="C15" s="3" t="s">
        <v>67</v>
      </c>
      <c r="D15" s="4">
        <v>13663.539000000001</v>
      </c>
      <c r="E15" s="4">
        <v>8541.3978097532254</v>
      </c>
      <c r="F15" s="5">
        <v>62.512338931760112</v>
      </c>
      <c r="G15" s="2"/>
    </row>
    <row r="16" spans="1:8" ht="14.15" customHeight="1" x14ac:dyDescent="0.4">
      <c r="A16" s="3" t="s">
        <v>13</v>
      </c>
      <c r="B16" s="3" t="s">
        <v>68</v>
      </c>
      <c r="C16" s="3" t="s">
        <v>69</v>
      </c>
      <c r="D16" s="4">
        <v>1462.8389999999999</v>
      </c>
      <c r="E16" s="4">
        <v>121.3351604777264</v>
      </c>
      <c r="F16" s="5">
        <v>8.2944986070050355</v>
      </c>
      <c r="G16" s="2"/>
      <c r="H16" s="28"/>
    </row>
    <row r="17" spans="1:7" ht="14.15" customHeight="1" x14ac:dyDescent="0.4">
      <c r="A17" s="3" t="s">
        <v>13</v>
      </c>
      <c r="B17" s="3" t="s">
        <v>70</v>
      </c>
      <c r="C17" s="3" t="s">
        <v>71</v>
      </c>
      <c r="D17" s="4">
        <v>12202.772000000001</v>
      </c>
      <c r="E17" s="4">
        <v>0</v>
      </c>
      <c r="F17" s="5">
        <v>0</v>
      </c>
      <c r="G17" s="2"/>
    </row>
    <row r="18" spans="1:7" ht="14.15" customHeight="1" thickBot="1" x14ac:dyDescent="0.45">
      <c r="A18" s="6" t="s">
        <v>72</v>
      </c>
      <c r="B18" s="6" t="s">
        <v>13</v>
      </c>
      <c r="C18" s="6" t="s">
        <v>13</v>
      </c>
      <c r="D18" s="7">
        <v>27329.15</v>
      </c>
      <c r="E18" s="7">
        <v>8662.7329702309526</v>
      </c>
      <c r="F18" s="8">
        <v>31.697776806929422</v>
      </c>
      <c r="G18" s="2"/>
    </row>
    <row r="19" spans="1:7" ht="14.15" customHeight="1" x14ac:dyDescent="0.4">
      <c r="A19" s="3" t="s">
        <v>36</v>
      </c>
      <c r="B19" s="3" t="s">
        <v>35</v>
      </c>
      <c r="C19" s="3" t="s">
        <v>73</v>
      </c>
      <c r="D19" s="4">
        <v>2851777.2059999998</v>
      </c>
      <c r="E19" s="4">
        <v>790721.78676577145</v>
      </c>
      <c r="F19" s="5">
        <v>27.727333857011391</v>
      </c>
      <c r="G19" s="2"/>
    </row>
    <row r="20" spans="1:7" ht="15" thickBot="1" x14ac:dyDescent="0.45">
      <c r="A20" s="6" t="s">
        <v>74</v>
      </c>
      <c r="B20" s="6" t="s">
        <v>13</v>
      </c>
      <c r="C20" s="6" t="s">
        <v>13</v>
      </c>
      <c r="D20" s="7">
        <v>2851777.2059999998</v>
      </c>
      <c r="E20" s="7">
        <v>790721.78676577145</v>
      </c>
      <c r="F20" s="8">
        <v>27.727333857011395</v>
      </c>
      <c r="G20" s="2"/>
    </row>
    <row r="21" spans="1:7" ht="14.15" customHeight="1" x14ac:dyDescent="0.4">
      <c r="A21" s="3" t="s">
        <v>38</v>
      </c>
      <c r="B21" s="3" t="s">
        <v>75</v>
      </c>
      <c r="C21" s="3" t="s">
        <v>76</v>
      </c>
      <c r="D21" s="4">
        <v>1908.9960000000001</v>
      </c>
      <c r="E21" s="4">
        <v>0</v>
      </c>
      <c r="F21" s="5">
        <v>0</v>
      </c>
      <c r="G21" s="2"/>
    </row>
    <row r="22" spans="1:7" x14ac:dyDescent="0.4">
      <c r="A22" s="3" t="s">
        <v>13</v>
      </c>
      <c r="B22" s="3" t="s">
        <v>77</v>
      </c>
      <c r="C22" s="3" t="s">
        <v>78</v>
      </c>
      <c r="D22" s="4">
        <v>3907.5239999999999</v>
      </c>
      <c r="E22" s="4">
        <v>685.83344002593617</v>
      </c>
      <c r="F22" s="5">
        <v>17.55161171181383</v>
      </c>
      <c r="G22" s="2"/>
    </row>
    <row r="23" spans="1:7" ht="14.15" customHeight="1" thickBot="1" x14ac:dyDescent="0.45">
      <c r="A23" s="6" t="s">
        <v>79</v>
      </c>
      <c r="B23" s="6" t="s">
        <v>13</v>
      </c>
      <c r="C23" s="6" t="s">
        <v>13</v>
      </c>
      <c r="D23" s="7">
        <v>5816.52</v>
      </c>
      <c r="E23" s="7">
        <v>685.83344002593617</v>
      </c>
      <c r="F23" s="8">
        <v>11.791130091978298</v>
      </c>
      <c r="G23" s="2"/>
    </row>
    <row r="24" spans="1:7" ht="14.15" customHeight="1" x14ac:dyDescent="0.4">
      <c r="A24" s="3" t="s">
        <v>40</v>
      </c>
      <c r="B24" s="3" t="s">
        <v>80</v>
      </c>
      <c r="C24" s="3" t="s">
        <v>81</v>
      </c>
      <c r="D24" s="4">
        <v>161486.48300000001</v>
      </c>
      <c r="E24" s="4">
        <v>0</v>
      </c>
      <c r="F24" s="5">
        <v>0</v>
      </c>
      <c r="G24" s="2"/>
    </row>
    <row r="25" spans="1:7" x14ac:dyDescent="0.4">
      <c r="A25" s="3" t="s">
        <v>13</v>
      </c>
      <c r="B25" s="3" t="s">
        <v>82</v>
      </c>
      <c r="C25" s="3" t="s">
        <v>83</v>
      </c>
      <c r="D25" s="4">
        <v>542031.978</v>
      </c>
      <c r="E25" s="4">
        <v>0</v>
      </c>
      <c r="F25" s="5">
        <v>0</v>
      </c>
      <c r="G25" s="2"/>
    </row>
    <row r="26" spans="1:7" ht="14.15" customHeight="1" x14ac:dyDescent="0.4">
      <c r="A26" s="3" t="s">
        <v>13</v>
      </c>
      <c r="B26" s="3" t="s">
        <v>84</v>
      </c>
      <c r="C26" s="3" t="s">
        <v>85</v>
      </c>
      <c r="D26" s="4">
        <v>431184.92700000003</v>
      </c>
      <c r="E26" s="4">
        <v>0</v>
      </c>
      <c r="F26" s="5">
        <v>0</v>
      </c>
      <c r="G26" s="2"/>
    </row>
    <row r="27" spans="1:7" ht="14.15" customHeight="1" x14ac:dyDescent="0.4">
      <c r="A27" s="3" t="s">
        <v>13</v>
      </c>
      <c r="B27" s="3" t="s">
        <v>86</v>
      </c>
      <c r="C27" s="3" t="s">
        <v>87</v>
      </c>
      <c r="D27" s="4">
        <v>80493.567999999999</v>
      </c>
      <c r="E27" s="4">
        <v>0</v>
      </c>
      <c r="F27" s="5">
        <v>0</v>
      </c>
      <c r="G27" s="2"/>
    </row>
    <row r="28" spans="1:7" ht="14.15" customHeight="1" x14ac:dyDescent="0.4">
      <c r="A28" s="3" t="s">
        <v>13</v>
      </c>
      <c r="B28" s="3" t="s">
        <v>88</v>
      </c>
      <c r="C28" s="3" t="s">
        <v>89</v>
      </c>
      <c r="D28" s="4">
        <v>466523.462</v>
      </c>
      <c r="E28" s="4">
        <v>0</v>
      </c>
      <c r="F28" s="5">
        <v>0</v>
      </c>
      <c r="G28" s="2"/>
    </row>
    <row r="29" spans="1:7" ht="14.15" customHeight="1" x14ac:dyDescent="0.4">
      <c r="A29" s="3" t="s">
        <v>13</v>
      </c>
      <c r="B29" s="3" t="s">
        <v>90</v>
      </c>
      <c r="C29" s="3" t="s">
        <v>91</v>
      </c>
      <c r="D29" s="4">
        <v>1415746.1780000001</v>
      </c>
      <c r="E29" s="4">
        <v>0</v>
      </c>
      <c r="F29" s="5">
        <v>0</v>
      </c>
      <c r="G29" s="2"/>
    </row>
    <row r="30" spans="1:7" ht="14.15" customHeight="1" x14ac:dyDescent="0.4">
      <c r="A30" s="3" t="s">
        <v>13</v>
      </c>
      <c r="B30" s="3" t="s">
        <v>92</v>
      </c>
      <c r="C30" s="3" t="s">
        <v>93</v>
      </c>
      <c r="D30" s="4">
        <v>1196333.6710000001</v>
      </c>
      <c r="E30" s="4">
        <v>0</v>
      </c>
      <c r="F30" s="5">
        <v>0</v>
      </c>
      <c r="G30" s="2"/>
    </row>
    <row r="31" spans="1:7" ht="14.15" customHeight="1" x14ac:dyDescent="0.4">
      <c r="A31" s="3" t="s">
        <v>13</v>
      </c>
      <c r="B31" s="3" t="s">
        <v>94</v>
      </c>
      <c r="C31" s="3" t="s">
        <v>95</v>
      </c>
      <c r="D31" s="4">
        <v>504377.10200000001</v>
      </c>
      <c r="E31" s="4">
        <v>0</v>
      </c>
      <c r="F31" s="5">
        <v>0</v>
      </c>
      <c r="G31" s="2"/>
    </row>
    <row r="32" spans="1:7" ht="14.15" customHeight="1" x14ac:dyDescent="0.4">
      <c r="A32" s="3" t="s">
        <v>13</v>
      </c>
      <c r="B32" s="3" t="s">
        <v>96</v>
      </c>
      <c r="C32" s="3" t="s">
        <v>97</v>
      </c>
      <c r="D32" s="4">
        <v>131309.848</v>
      </c>
      <c r="E32" s="4">
        <v>0</v>
      </c>
      <c r="F32" s="5">
        <v>0</v>
      </c>
      <c r="G32" s="2"/>
    </row>
    <row r="33" spans="1:7" ht="14.15" customHeight="1" x14ac:dyDescent="0.4">
      <c r="A33" s="3" t="s">
        <v>13</v>
      </c>
      <c r="B33" s="3" t="s">
        <v>98</v>
      </c>
      <c r="C33" s="3" t="s">
        <v>99</v>
      </c>
      <c r="D33" s="4">
        <v>479221.22100000002</v>
      </c>
      <c r="E33" s="4">
        <v>0</v>
      </c>
      <c r="F33" s="5">
        <v>0</v>
      </c>
      <c r="G33" s="2"/>
    </row>
    <row r="34" spans="1:7" ht="14.15" customHeight="1" x14ac:dyDescent="0.4">
      <c r="A34" s="3" t="s">
        <v>13</v>
      </c>
      <c r="B34" s="3" t="s">
        <v>100</v>
      </c>
      <c r="C34" s="3" t="s">
        <v>101</v>
      </c>
      <c r="D34" s="4">
        <v>1267547.429</v>
      </c>
      <c r="E34" s="4">
        <v>0</v>
      </c>
      <c r="F34" s="5">
        <v>0</v>
      </c>
      <c r="G34" s="2"/>
    </row>
    <row r="35" spans="1:7" ht="14.15" customHeight="1" x14ac:dyDescent="0.4">
      <c r="A35" s="3" t="s">
        <v>13</v>
      </c>
      <c r="B35" s="3" t="s">
        <v>102</v>
      </c>
      <c r="C35" s="3" t="s">
        <v>103</v>
      </c>
      <c r="D35" s="4">
        <v>630448.63100000005</v>
      </c>
      <c r="E35" s="4">
        <v>84.410719240097521</v>
      </c>
      <c r="F35" s="5">
        <v>1.3388992392006241E-2</v>
      </c>
      <c r="G35" s="2"/>
    </row>
    <row r="36" spans="1:7" ht="14.15" customHeight="1" x14ac:dyDescent="0.4">
      <c r="A36" s="3" t="s">
        <v>13</v>
      </c>
      <c r="B36" s="3" t="s">
        <v>104</v>
      </c>
      <c r="C36" s="3" t="s">
        <v>105</v>
      </c>
      <c r="D36" s="4">
        <v>293164.14799999999</v>
      </c>
      <c r="E36" s="4">
        <v>0</v>
      </c>
      <c r="F36" s="5">
        <v>0</v>
      </c>
      <c r="G36" s="2"/>
    </row>
    <row r="37" spans="1:7" ht="14.15" customHeight="1" x14ac:dyDescent="0.4">
      <c r="A37" s="3" t="s">
        <v>13</v>
      </c>
      <c r="B37" s="3" t="s">
        <v>106</v>
      </c>
      <c r="C37" s="3" t="s">
        <v>107</v>
      </c>
      <c r="D37" s="4">
        <v>284171.96500000003</v>
      </c>
      <c r="E37" s="4">
        <v>0</v>
      </c>
      <c r="F37" s="5">
        <v>0</v>
      </c>
      <c r="G37" s="2"/>
    </row>
    <row r="38" spans="1:7" ht="14.15" customHeight="1" x14ac:dyDescent="0.4">
      <c r="A38" s="3" t="s">
        <v>13</v>
      </c>
      <c r="B38" s="3" t="s">
        <v>108</v>
      </c>
      <c r="C38" s="3" t="s">
        <v>109</v>
      </c>
      <c r="D38" s="4">
        <v>149857.106</v>
      </c>
      <c r="E38" s="4">
        <v>0</v>
      </c>
      <c r="F38" s="5">
        <v>0</v>
      </c>
      <c r="G38" s="2"/>
    </row>
    <row r="39" spans="1:7" ht="14.15" customHeight="1" x14ac:dyDescent="0.4">
      <c r="A39" s="3" t="s">
        <v>13</v>
      </c>
      <c r="B39" s="3" t="s">
        <v>110</v>
      </c>
      <c r="C39" s="3" t="s">
        <v>111</v>
      </c>
      <c r="D39" s="4">
        <v>342045.20799999998</v>
      </c>
      <c r="E39" s="4">
        <v>0</v>
      </c>
      <c r="F39" s="5">
        <v>0</v>
      </c>
      <c r="G39" s="2"/>
    </row>
    <row r="40" spans="1:7" ht="14.15" customHeight="1" thickBot="1" x14ac:dyDescent="0.45">
      <c r="A40" s="6" t="s">
        <v>112</v>
      </c>
      <c r="B40" s="6" t="s">
        <v>13</v>
      </c>
      <c r="C40" s="6" t="s">
        <v>13</v>
      </c>
      <c r="D40" s="7">
        <v>8375942.9249999998</v>
      </c>
      <c r="E40" s="7">
        <v>84.410719240097521</v>
      </c>
      <c r="F40" s="8">
        <v>1.0077757214432968E-3</v>
      </c>
      <c r="G40" s="2"/>
    </row>
    <row r="41" spans="1:7" ht="14.15" customHeight="1" x14ac:dyDescent="0.4">
      <c r="A41" s="3" t="s">
        <v>42</v>
      </c>
      <c r="B41" s="3" t="s">
        <v>113</v>
      </c>
      <c r="C41" s="3" t="s">
        <v>114</v>
      </c>
      <c r="D41" s="4">
        <v>257572.40299999999</v>
      </c>
      <c r="E41" s="4">
        <v>0</v>
      </c>
      <c r="F41" s="5">
        <v>0</v>
      </c>
      <c r="G41" s="2"/>
    </row>
    <row r="42" spans="1:7" ht="14.15" customHeight="1" x14ac:dyDescent="0.4">
      <c r="A42" s="3" t="s">
        <v>13</v>
      </c>
      <c r="B42" s="3" t="s">
        <v>115</v>
      </c>
      <c r="C42" s="3" t="s">
        <v>116</v>
      </c>
      <c r="D42" s="4">
        <v>275693.25199999998</v>
      </c>
      <c r="E42" s="4">
        <v>0</v>
      </c>
      <c r="F42" s="5">
        <v>0</v>
      </c>
      <c r="G42" s="2"/>
    </row>
    <row r="43" spans="1:7" ht="14.15" customHeight="1" x14ac:dyDescent="0.4">
      <c r="A43" s="3" t="s">
        <v>13</v>
      </c>
      <c r="B43" s="3" t="s">
        <v>117</v>
      </c>
      <c r="C43" s="3" t="s">
        <v>118</v>
      </c>
      <c r="D43" s="4">
        <v>179126.11499999999</v>
      </c>
      <c r="E43" s="4">
        <v>0</v>
      </c>
      <c r="F43" s="5">
        <v>0</v>
      </c>
      <c r="G43" s="2"/>
    </row>
    <row r="44" spans="1:7" ht="14.15" customHeight="1" x14ac:dyDescent="0.4">
      <c r="A44" s="3" t="s">
        <v>13</v>
      </c>
      <c r="B44" s="3" t="s">
        <v>119</v>
      </c>
      <c r="C44" s="3" t="s">
        <v>120</v>
      </c>
      <c r="D44" s="4">
        <v>461514.734</v>
      </c>
      <c r="E44" s="4">
        <v>0</v>
      </c>
      <c r="F44" s="5">
        <v>0</v>
      </c>
      <c r="G44" s="2"/>
    </row>
    <row r="45" spans="1:7" ht="14.15" customHeight="1" x14ac:dyDescent="0.4">
      <c r="A45" s="3" t="s">
        <v>13</v>
      </c>
      <c r="B45" s="3" t="s">
        <v>121</v>
      </c>
      <c r="C45" s="3" t="s">
        <v>122</v>
      </c>
      <c r="D45" s="4">
        <v>122752.049</v>
      </c>
      <c r="E45" s="4">
        <v>0</v>
      </c>
      <c r="F45" s="5">
        <v>0</v>
      </c>
      <c r="G45" s="2"/>
    </row>
    <row r="46" spans="1:7" ht="14.15" customHeight="1" x14ac:dyDescent="0.4">
      <c r="A46" s="3" t="s">
        <v>13</v>
      </c>
      <c r="B46" s="3" t="s">
        <v>123</v>
      </c>
      <c r="C46" s="3" t="s">
        <v>124</v>
      </c>
      <c r="D46" s="4">
        <v>135981.035</v>
      </c>
      <c r="E46" s="4">
        <v>5550.1746668476399</v>
      </c>
      <c r="F46" s="5">
        <v>4.0815799547691629</v>
      </c>
      <c r="G46" s="2"/>
    </row>
    <row r="47" spans="1:7" x14ac:dyDescent="0.4">
      <c r="A47" s="3" t="s">
        <v>13</v>
      </c>
      <c r="B47" s="3" t="s">
        <v>125</v>
      </c>
      <c r="C47" s="3" t="s">
        <v>126</v>
      </c>
      <c r="D47" s="4">
        <v>437384.054</v>
      </c>
      <c r="E47" s="4">
        <v>0</v>
      </c>
      <c r="F47" s="5">
        <v>0</v>
      </c>
      <c r="G47" s="2"/>
    </row>
    <row r="48" spans="1:7" ht="14.15" customHeight="1" x14ac:dyDescent="0.4">
      <c r="A48" s="3" t="s">
        <v>13</v>
      </c>
      <c r="B48" s="3" t="s">
        <v>127</v>
      </c>
      <c r="C48" s="3" t="s">
        <v>128</v>
      </c>
      <c r="D48" s="4">
        <v>96902.653999999995</v>
      </c>
      <c r="E48" s="4">
        <v>0</v>
      </c>
      <c r="F48" s="5">
        <v>0</v>
      </c>
      <c r="G48" s="2"/>
    </row>
    <row r="49" spans="1:7" ht="14.15" customHeight="1" x14ac:dyDescent="0.4">
      <c r="A49" s="3" t="s">
        <v>13</v>
      </c>
      <c r="B49" s="3" t="s">
        <v>129</v>
      </c>
      <c r="C49" s="3" t="s">
        <v>130</v>
      </c>
      <c r="D49" s="4">
        <v>148388.973</v>
      </c>
      <c r="E49" s="4">
        <v>0</v>
      </c>
      <c r="F49" s="5">
        <v>0</v>
      </c>
      <c r="G49" s="2"/>
    </row>
    <row r="50" spans="1:7" ht="14.15" customHeight="1" x14ac:dyDescent="0.4">
      <c r="A50" s="3" t="s">
        <v>13</v>
      </c>
      <c r="B50" s="3" t="s">
        <v>131</v>
      </c>
      <c r="C50" s="3" t="s">
        <v>132</v>
      </c>
      <c r="D50" s="4">
        <v>153838.60800000001</v>
      </c>
      <c r="E50" s="4">
        <v>0</v>
      </c>
      <c r="F50" s="5">
        <v>0</v>
      </c>
      <c r="G50" s="2"/>
    </row>
    <row r="51" spans="1:7" ht="14.15" customHeight="1" x14ac:dyDescent="0.4">
      <c r="A51" s="3" t="s">
        <v>13</v>
      </c>
      <c r="B51" s="3" t="s">
        <v>133</v>
      </c>
      <c r="C51" s="3" t="s">
        <v>134</v>
      </c>
      <c r="D51" s="4">
        <v>687622.04399999999</v>
      </c>
      <c r="E51" s="4">
        <v>0</v>
      </c>
      <c r="F51" s="5">
        <v>0</v>
      </c>
      <c r="G51" s="2"/>
    </row>
    <row r="52" spans="1:7" ht="14.15" customHeight="1" x14ac:dyDescent="0.4">
      <c r="A52" s="3" t="s">
        <v>13</v>
      </c>
      <c r="B52" s="3" t="s">
        <v>135</v>
      </c>
      <c r="C52" s="3" t="s">
        <v>136</v>
      </c>
      <c r="D52" s="4">
        <v>211493.63800000001</v>
      </c>
      <c r="E52" s="4">
        <v>0</v>
      </c>
      <c r="F52" s="5">
        <v>0</v>
      </c>
      <c r="G52" s="2"/>
    </row>
    <row r="53" spans="1:7" ht="14.15" customHeight="1" x14ac:dyDescent="0.4">
      <c r="A53" s="3" t="s">
        <v>13</v>
      </c>
      <c r="B53" s="3" t="s">
        <v>137</v>
      </c>
      <c r="C53" s="3" t="s">
        <v>138</v>
      </c>
      <c r="D53" s="4">
        <v>461327.05800000002</v>
      </c>
      <c r="E53" s="4">
        <v>0</v>
      </c>
      <c r="F53" s="5">
        <v>0</v>
      </c>
      <c r="G53" s="2"/>
    </row>
    <row r="54" spans="1:7" ht="14.15" customHeight="1" thickBot="1" x14ac:dyDescent="0.45">
      <c r="A54" s="6" t="s">
        <v>139</v>
      </c>
      <c r="B54" s="6" t="s">
        <v>13</v>
      </c>
      <c r="C54" s="6" t="s">
        <v>13</v>
      </c>
      <c r="D54" s="7">
        <v>3629596.6170000001</v>
      </c>
      <c r="E54" s="7">
        <v>5550.1746668476399</v>
      </c>
      <c r="F54" s="8">
        <v>0.15291436631972263</v>
      </c>
      <c r="G54" s="2"/>
    </row>
    <row r="55" spans="1:7" ht="14.15" customHeight="1" thickBot="1" x14ac:dyDescent="0.45">
      <c r="A55" s="6" t="s">
        <v>12</v>
      </c>
      <c r="B55" s="6" t="s">
        <v>13</v>
      </c>
      <c r="C55" s="6" t="s">
        <v>13</v>
      </c>
      <c r="D55" s="7">
        <v>59525819.955999993</v>
      </c>
      <c r="E55" s="7">
        <v>2044837.3169777901</v>
      </c>
      <c r="F55" s="8">
        <v>3.4352106673864937</v>
      </c>
      <c r="G55" s="2"/>
    </row>
    <row r="56" spans="1:7" x14ac:dyDescent="0.4">
      <c r="A56" s="13"/>
      <c r="E56" s="28"/>
    </row>
    <row r="58" spans="1:7" x14ac:dyDescent="0.4">
      <c r="A58" s="52" t="s">
        <v>218</v>
      </c>
      <c r="B58" s="52"/>
      <c r="C58" s="52"/>
      <c r="D58" s="52"/>
    </row>
    <row r="59" spans="1:7" ht="20.5" customHeight="1" x14ac:dyDescent="0.4">
      <c r="A59" s="52" t="s">
        <v>216</v>
      </c>
      <c r="B59" s="52"/>
      <c r="C59" s="52"/>
      <c r="D59" s="52"/>
    </row>
    <row r="60" spans="1:7" x14ac:dyDescent="0.4">
      <c r="A60" s="19"/>
      <c r="B60" s="24"/>
      <c r="C60" s="24"/>
      <c r="D60" s="24"/>
    </row>
    <row r="61" spans="1:7" ht="28.2" customHeight="1" x14ac:dyDescent="0.4">
      <c r="A61" s="52" t="s">
        <v>217</v>
      </c>
      <c r="B61" s="52"/>
      <c r="C61" s="52"/>
      <c r="D61" s="52"/>
    </row>
    <row r="62" spans="1:7" ht="26.5" customHeight="1" x14ac:dyDescent="0.4">
      <c r="A62" s="52" t="s">
        <v>211</v>
      </c>
      <c r="B62" s="52"/>
      <c r="C62" s="52"/>
      <c r="D62" s="52"/>
    </row>
    <row r="63" spans="1:7" ht="31.95" customHeight="1" x14ac:dyDescent="0.4">
      <c r="A63" s="52" t="s">
        <v>231</v>
      </c>
      <c r="B63" s="52"/>
      <c r="C63" s="52"/>
      <c r="D63" s="52"/>
    </row>
    <row r="64" spans="1:7" x14ac:dyDescent="0.4">
      <c r="A64" s="32" t="s">
        <v>232</v>
      </c>
    </row>
  </sheetData>
  <mergeCells count="6">
    <mergeCell ref="A62:D62"/>
    <mergeCell ref="A63:D63"/>
    <mergeCell ref="A1:F1"/>
    <mergeCell ref="A58:D58"/>
    <mergeCell ref="A59:D59"/>
    <mergeCell ref="A61:D61"/>
  </mergeCells>
  <pageMargins left="0.7" right="0.7" top="0.75" bottom="0.75" header="0.3" footer="0.3"/>
  <headerFooter>
    <oddHeader>&amp;C&amp;"Calibri"&amp;12&amp;KFF0000 OFFICIAL&amp;1#_x000D_</oddHeader>
    <oddFooter>&amp;C_x000D_&amp;1#&amp;"Calibri"&amp;12&amp;KFF0000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2"/>
  <sheetViews>
    <sheetView workbookViewId="0">
      <selection activeCell="A42" sqref="A42"/>
    </sheetView>
  </sheetViews>
  <sheetFormatPr defaultRowHeight="14.6" x14ac:dyDescent="0.4"/>
  <cols>
    <col min="1" max="2" width="35.69140625" customWidth="1"/>
    <col min="3" max="3" width="12.69140625" customWidth="1"/>
    <col min="4" max="4" width="15.69140625" customWidth="1"/>
    <col min="5" max="7" width="20.69140625" customWidth="1"/>
    <col min="8" max="8" width="35.69140625" bestFit="1" customWidth="1"/>
    <col min="9" max="13" width="20.69140625" customWidth="1"/>
  </cols>
  <sheetData>
    <row r="1" spans="1:13" s="26" customFormat="1" ht="23.15" customHeight="1" thickBot="1" x14ac:dyDescent="0.45">
      <c r="A1" s="51" t="s">
        <v>180</v>
      </c>
      <c r="B1" s="51"/>
      <c r="C1" s="51"/>
      <c r="D1" s="51"/>
      <c r="E1" s="51"/>
      <c r="F1" s="51"/>
      <c r="G1" s="51"/>
      <c r="H1" s="51"/>
      <c r="I1" s="51"/>
      <c r="J1" s="51"/>
      <c r="K1" s="51"/>
      <c r="L1" s="51"/>
      <c r="M1" s="51"/>
    </row>
    <row r="2" spans="1:13" s="26" customFormat="1" ht="23.15" customHeight="1" x14ac:dyDescent="0.4">
      <c r="A2" s="18" t="s">
        <v>0</v>
      </c>
      <c r="B2" s="18" t="s">
        <v>140</v>
      </c>
      <c r="C2" s="18" t="s">
        <v>1</v>
      </c>
      <c r="D2" s="18" t="s">
        <v>17</v>
      </c>
      <c r="E2" s="18" t="s">
        <v>141</v>
      </c>
      <c r="F2" s="18" t="s">
        <v>224</v>
      </c>
      <c r="G2" s="18" t="s">
        <v>225</v>
      </c>
      <c r="H2" s="18" t="s">
        <v>226</v>
      </c>
      <c r="I2" s="18" t="s">
        <v>142</v>
      </c>
      <c r="J2" s="18" t="s">
        <v>143</v>
      </c>
      <c r="K2" s="18" t="s">
        <v>144</v>
      </c>
      <c r="L2" s="18" t="s">
        <v>145</v>
      </c>
      <c r="M2" s="18" t="s">
        <v>146</v>
      </c>
    </row>
    <row r="3" spans="1:13" x14ac:dyDescent="0.4">
      <c r="A3" s="3" t="s">
        <v>4</v>
      </c>
      <c r="B3" s="3" t="s">
        <v>147</v>
      </c>
      <c r="C3" s="3" t="s">
        <v>5</v>
      </c>
      <c r="D3" s="3" t="s">
        <v>18</v>
      </c>
      <c r="E3" s="4">
        <v>0</v>
      </c>
      <c r="F3" s="4">
        <v>23896.934746235209</v>
      </c>
      <c r="G3" s="4">
        <v>23896.934746235209</v>
      </c>
      <c r="H3" s="4">
        <v>0</v>
      </c>
      <c r="I3" s="14" t="s">
        <v>181</v>
      </c>
      <c r="J3" s="14" t="s">
        <v>182</v>
      </c>
      <c r="K3" s="15">
        <v>76.221742807083501</v>
      </c>
      <c r="L3" s="15">
        <v>-69.408333480499948</v>
      </c>
      <c r="M3" s="3"/>
    </row>
    <row r="4" spans="1:13" x14ac:dyDescent="0.4">
      <c r="A4" s="16" t="s">
        <v>13</v>
      </c>
      <c r="B4" s="16" t="s">
        <v>12</v>
      </c>
      <c r="C4" s="16" t="s">
        <v>13</v>
      </c>
      <c r="D4" s="17">
        <v>1</v>
      </c>
      <c r="E4" s="16" t="s">
        <v>13</v>
      </c>
      <c r="F4" s="17">
        <f>SUM(F3:F3)</f>
        <v>23896.934746235209</v>
      </c>
      <c r="G4" s="17">
        <f>SUM(G3:G3)</f>
        <v>23896.934746235209</v>
      </c>
      <c r="H4" s="17">
        <f>SUM(H3:H3)</f>
        <v>0</v>
      </c>
      <c r="I4" s="16" t="s">
        <v>13</v>
      </c>
      <c r="J4" s="16" t="s">
        <v>13</v>
      </c>
      <c r="K4" s="16" t="s">
        <v>13</v>
      </c>
      <c r="L4" s="16" t="s">
        <v>13</v>
      </c>
      <c r="M4" s="16" t="s">
        <v>13</v>
      </c>
    </row>
    <row r="5" spans="1:13" x14ac:dyDescent="0.4">
      <c r="A5" s="3" t="s">
        <v>6</v>
      </c>
      <c r="B5" s="3" t="s">
        <v>148</v>
      </c>
      <c r="C5" s="3" t="s">
        <v>7</v>
      </c>
      <c r="D5" s="3" t="s">
        <v>18</v>
      </c>
      <c r="E5" s="4">
        <v>0</v>
      </c>
      <c r="F5" s="4">
        <v>1737.6376398841289</v>
      </c>
      <c r="G5" s="4">
        <v>1737.6376398841289</v>
      </c>
      <c r="H5" s="4">
        <v>0</v>
      </c>
      <c r="I5" s="14" t="s">
        <v>183</v>
      </c>
      <c r="J5" s="14" t="s">
        <v>182</v>
      </c>
      <c r="K5" s="15">
        <v>76.845225585104373</v>
      </c>
      <c r="L5" s="15">
        <v>-69.25360706449996</v>
      </c>
      <c r="M5" s="3"/>
    </row>
    <row r="6" spans="1:13" x14ac:dyDescent="0.4">
      <c r="A6" s="3" t="s">
        <v>13</v>
      </c>
      <c r="B6" s="3" t="s">
        <v>149</v>
      </c>
      <c r="C6" s="3" t="s">
        <v>7</v>
      </c>
      <c r="D6" s="3" t="s">
        <v>18</v>
      </c>
      <c r="E6" s="4">
        <v>0</v>
      </c>
      <c r="F6" s="4">
        <v>251.35392642805411</v>
      </c>
      <c r="G6" s="4">
        <v>251.35392642805411</v>
      </c>
      <c r="H6" s="4">
        <v>0</v>
      </c>
      <c r="I6" s="14" t="s">
        <v>184</v>
      </c>
      <c r="J6" s="14" t="s">
        <v>185</v>
      </c>
      <c r="K6" s="15">
        <v>110.5397642862627</v>
      </c>
      <c r="L6" s="15">
        <v>-66.373564148999947</v>
      </c>
      <c r="M6" s="3"/>
    </row>
    <row r="7" spans="1:13" x14ac:dyDescent="0.4">
      <c r="A7" s="3" t="s">
        <v>13</v>
      </c>
      <c r="B7" s="3" t="s">
        <v>150</v>
      </c>
      <c r="C7" s="3" t="s">
        <v>7</v>
      </c>
      <c r="D7" s="3" t="s">
        <v>18</v>
      </c>
      <c r="E7" s="4">
        <v>0</v>
      </c>
      <c r="F7" s="4">
        <v>967.81770062783062</v>
      </c>
      <c r="G7" s="4">
        <v>967.81770062783062</v>
      </c>
      <c r="H7" s="4">
        <v>0</v>
      </c>
      <c r="I7" s="14" t="s">
        <v>186</v>
      </c>
      <c r="J7" s="14" t="s">
        <v>187</v>
      </c>
      <c r="K7" s="15">
        <v>110.5820106968104</v>
      </c>
      <c r="L7" s="15">
        <v>-66.252360395999972</v>
      </c>
      <c r="M7" s="3"/>
    </row>
    <row r="8" spans="1:13" x14ac:dyDescent="0.4">
      <c r="A8" s="3" t="s">
        <v>13</v>
      </c>
      <c r="B8" s="3" t="s">
        <v>151</v>
      </c>
      <c r="C8" s="3" t="s">
        <v>7</v>
      </c>
      <c r="D8" s="3" t="s">
        <v>18</v>
      </c>
      <c r="E8" s="4">
        <v>0</v>
      </c>
      <c r="F8" s="4">
        <v>61.791357624482707</v>
      </c>
      <c r="G8" s="4">
        <v>61.791357624482707</v>
      </c>
      <c r="H8" s="4">
        <v>0</v>
      </c>
      <c r="I8" s="14" t="s">
        <v>188</v>
      </c>
      <c r="J8" s="14" t="s">
        <v>189</v>
      </c>
      <c r="K8" s="15">
        <v>110.1851154391661</v>
      </c>
      <c r="L8" s="15">
        <v>-66.230303736499962</v>
      </c>
      <c r="M8" s="3"/>
    </row>
    <row r="9" spans="1:13" x14ac:dyDescent="0.4">
      <c r="A9" s="3" t="s">
        <v>13</v>
      </c>
      <c r="B9" s="3" t="s">
        <v>152</v>
      </c>
      <c r="C9" s="3" t="s">
        <v>7</v>
      </c>
      <c r="D9" s="3" t="s">
        <v>18</v>
      </c>
      <c r="E9" s="4">
        <v>0</v>
      </c>
      <c r="F9" s="4">
        <v>220.66509935060421</v>
      </c>
      <c r="G9" s="4">
        <v>220.66509935060421</v>
      </c>
      <c r="H9" s="4">
        <v>0</v>
      </c>
      <c r="I9" s="14" t="s">
        <v>190</v>
      </c>
      <c r="J9" s="14" t="s">
        <v>191</v>
      </c>
      <c r="K9" s="15">
        <v>77.856572315883156</v>
      </c>
      <c r="L9" s="15">
        <v>-68.635718898999954</v>
      </c>
      <c r="M9" s="3"/>
    </row>
    <row r="10" spans="1:13" x14ac:dyDescent="0.4">
      <c r="A10" s="3" t="s">
        <v>13</v>
      </c>
      <c r="B10" s="3" t="s">
        <v>153</v>
      </c>
      <c r="C10" s="3" t="s">
        <v>7</v>
      </c>
      <c r="D10" s="3" t="s">
        <v>18</v>
      </c>
      <c r="E10" s="4">
        <v>0</v>
      </c>
      <c r="F10" s="4">
        <v>2076.5630361589019</v>
      </c>
      <c r="G10" s="4">
        <v>2076.5630361589019</v>
      </c>
      <c r="H10" s="4">
        <v>0</v>
      </c>
      <c r="I10" s="14" t="s">
        <v>192</v>
      </c>
      <c r="J10" s="14" t="s">
        <v>189</v>
      </c>
      <c r="K10" s="15">
        <v>78.146908592995658</v>
      </c>
      <c r="L10" s="15">
        <v>-68.631000890999985</v>
      </c>
      <c r="M10" s="3"/>
    </row>
    <row r="11" spans="1:13" x14ac:dyDescent="0.4">
      <c r="A11" s="3" t="s">
        <v>13</v>
      </c>
      <c r="B11" s="3" t="s">
        <v>154</v>
      </c>
      <c r="C11" s="3" t="s">
        <v>7</v>
      </c>
      <c r="D11" s="3" t="s">
        <v>18</v>
      </c>
      <c r="E11" s="4">
        <v>0</v>
      </c>
      <c r="F11" s="4">
        <v>104.0733307072029</v>
      </c>
      <c r="G11" s="4">
        <v>104.0733307072029</v>
      </c>
      <c r="H11" s="4">
        <v>0</v>
      </c>
      <c r="I11" s="14" t="s">
        <v>182</v>
      </c>
      <c r="J11" s="14" t="s">
        <v>193</v>
      </c>
      <c r="K11" s="15">
        <v>142.66610087193911</v>
      </c>
      <c r="L11" s="15">
        <v>-67.008467545499968</v>
      </c>
      <c r="M11" s="3"/>
    </row>
    <row r="12" spans="1:13" x14ac:dyDescent="0.4">
      <c r="A12" s="3" t="s">
        <v>13</v>
      </c>
      <c r="B12" s="3" t="s">
        <v>155</v>
      </c>
      <c r="C12" s="3" t="s">
        <v>7</v>
      </c>
      <c r="D12" s="3" t="s">
        <v>18</v>
      </c>
      <c r="E12" s="4">
        <v>0</v>
      </c>
      <c r="F12" s="4">
        <v>10170.217128567439</v>
      </c>
      <c r="G12" s="4">
        <v>10170.217128567439</v>
      </c>
      <c r="H12" s="4">
        <v>0</v>
      </c>
      <c r="I12" s="14" t="s">
        <v>194</v>
      </c>
      <c r="J12" s="14" t="s">
        <v>194</v>
      </c>
      <c r="K12" s="15">
        <v>75.043055459174184</v>
      </c>
      <c r="L12" s="15">
        <v>-72.900008514999968</v>
      </c>
      <c r="M12" s="3"/>
    </row>
    <row r="13" spans="1:13" x14ac:dyDescent="0.4">
      <c r="A13" s="3" t="s">
        <v>13</v>
      </c>
      <c r="B13" s="3" t="s">
        <v>156</v>
      </c>
      <c r="C13" s="3" t="s">
        <v>7</v>
      </c>
      <c r="D13" s="3" t="s">
        <v>18</v>
      </c>
      <c r="E13" s="4">
        <v>0</v>
      </c>
      <c r="F13" s="4">
        <v>28.998308588466159</v>
      </c>
      <c r="G13" s="4">
        <v>28.998308588466159</v>
      </c>
      <c r="H13" s="4">
        <v>0</v>
      </c>
      <c r="I13" s="14" t="s">
        <v>186</v>
      </c>
      <c r="J13" s="14" t="s">
        <v>189</v>
      </c>
      <c r="K13" s="15">
        <v>110.54440387542409</v>
      </c>
      <c r="L13" s="15">
        <v>-66.28370714649995</v>
      </c>
      <c r="M13" s="3"/>
    </row>
    <row r="14" spans="1:13" x14ac:dyDescent="0.4">
      <c r="A14" s="3" t="s">
        <v>13</v>
      </c>
      <c r="B14" s="3" t="s">
        <v>157</v>
      </c>
      <c r="C14" s="3" t="s">
        <v>7</v>
      </c>
      <c r="D14" s="3" t="s">
        <v>18</v>
      </c>
      <c r="E14" s="4">
        <v>0</v>
      </c>
      <c r="F14" s="4">
        <v>85.272019272890589</v>
      </c>
      <c r="G14" s="4">
        <v>85.272019272890589</v>
      </c>
      <c r="H14" s="4">
        <v>0</v>
      </c>
      <c r="I14" s="14" t="s">
        <v>184</v>
      </c>
      <c r="J14" s="14" t="s">
        <v>185</v>
      </c>
      <c r="K14" s="15">
        <v>62.500906592500058</v>
      </c>
      <c r="L14" s="15">
        <v>-67.611529055499801</v>
      </c>
      <c r="M14" s="3"/>
    </row>
    <row r="15" spans="1:13" x14ac:dyDescent="0.4">
      <c r="A15" s="3" t="s">
        <v>13</v>
      </c>
      <c r="B15" s="3" t="s">
        <v>158</v>
      </c>
      <c r="C15" s="3" t="s">
        <v>7</v>
      </c>
      <c r="D15" s="3" t="s">
        <v>18</v>
      </c>
      <c r="E15" s="4">
        <v>0</v>
      </c>
      <c r="F15" s="4">
        <v>1028.563293219956</v>
      </c>
      <c r="G15" s="4">
        <v>1028.563293219956</v>
      </c>
      <c r="H15" s="4">
        <v>0</v>
      </c>
      <c r="I15" s="14" t="s">
        <v>195</v>
      </c>
      <c r="J15" s="14" t="s">
        <v>196</v>
      </c>
      <c r="K15" s="15">
        <v>66.692430008815705</v>
      </c>
      <c r="L15" s="15">
        <v>-67.789780504999953</v>
      </c>
      <c r="M15" s="3"/>
    </row>
    <row r="16" spans="1:13" x14ac:dyDescent="0.4">
      <c r="A16" s="3" t="s">
        <v>13</v>
      </c>
      <c r="B16" s="3" t="s">
        <v>159</v>
      </c>
      <c r="C16" s="3" t="s">
        <v>7</v>
      </c>
      <c r="D16" s="3" t="s">
        <v>18</v>
      </c>
      <c r="E16" s="4">
        <v>0</v>
      </c>
      <c r="F16" s="4">
        <v>2133.103413909761</v>
      </c>
      <c r="G16" s="4">
        <v>4.0884196749390179E-4</v>
      </c>
      <c r="H16" s="4">
        <v>2133.1030050677932</v>
      </c>
      <c r="I16" s="14" t="s">
        <v>182</v>
      </c>
      <c r="J16" s="14" t="s">
        <v>182</v>
      </c>
      <c r="K16" s="15">
        <v>76.050824446851152</v>
      </c>
      <c r="L16" s="15">
        <v>-69.434639978999968</v>
      </c>
      <c r="M16" s="3"/>
    </row>
    <row r="17" spans="1:13" x14ac:dyDescent="0.4">
      <c r="A17" s="3" t="s">
        <v>13</v>
      </c>
      <c r="B17" s="3" t="s">
        <v>160</v>
      </c>
      <c r="C17" s="3" t="s">
        <v>7</v>
      </c>
      <c r="D17" s="3" t="s">
        <v>18</v>
      </c>
      <c r="E17" s="4">
        <v>0</v>
      </c>
      <c r="F17" s="4">
        <v>27.374025131300769</v>
      </c>
      <c r="G17" s="4">
        <v>27.374025131300769</v>
      </c>
      <c r="H17" s="4">
        <v>0</v>
      </c>
      <c r="I17" s="14" t="s">
        <v>184</v>
      </c>
      <c r="J17" s="14" t="s">
        <v>196</v>
      </c>
      <c r="K17" s="15">
        <v>60.886242364058603</v>
      </c>
      <c r="L17" s="15">
        <v>-67.454864871999945</v>
      </c>
      <c r="M17" s="3"/>
    </row>
    <row r="18" spans="1:13" x14ac:dyDescent="0.4">
      <c r="A18" s="16" t="s">
        <v>13</v>
      </c>
      <c r="B18" s="16" t="s">
        <v>12</v>
      </c>
      <c r="C18" s="16" t="s">
        <v>13</v>
      </c>
      <c r="D18" s="17">
        <v>13</v>
      </c>
      <c r="E18" s="16" t="s">
        <v>13</v>
      </c>
      <c r="F18" s="17">
        <f>SUM(F5:F17)</f>
        <v>18893.43027947102</v>
      </c>
      <c r="G18" s="17">
        <f>SUM(G5:G17)</f>
        <v>16760.327274403226</v>
      </c>
      <c r="H18" s="17">
        <f>SUM(H5:H17)</f>
        <v>2133.1030050677932</v>
      </c>
      <c r="I18" s="16" t="s">
        <v>13</v>
      </c>
      <c r="J18" s="16" t="s">
        <v>13</v>
      </c>
      <c r="K18" s="16" t="s">
        <v>13</v>
      </c>
      <c r="L18" s="16" t="s">
        <v>13</v>
      </c>
      <c r="M18" s="16" t="s">
        <v>13</v>
      </c>
    </row>
    <row r="19" spans="1:13" x14ac:dyDescent="0.4">
      <c r="A19" s="3" t="s">
        <v>8</v>
      </c>
      <c r="B19" s="3" t="s">
        <v>161</v>
      </c>
      <c r="C19" s="3" t="s">
        <v>9</v>
      </c>
      <c r="D19" s="3" t="s">
        <v>22</v>
      </c>
      <c r="E19" s="4">
        <v>0</v>
      </c>
      <c r="F19" s="4">
        <v>84.410719240116009</v>
      </c>
      <c r="G19" s="4">
        <v>84.410719240116009</v>
      </c>
      <c r="H19" s="4">
        <v>0</v>
      </c>
      <c r="I19" s="14" t="s">
        <v>197</v>
      </c>
      <c r="J19" s="14" t="s">
        <v>198</v>
      </c>
      <c r="K19" s="15">
        <v>149.10743877823791</v>
      </c>
      <c r="L19" s="15">
        <v>-35.27528476699996</v>
      </c>
      <c r="M19" s="3" t="s">
        <v>40</v>
      </c>
    </row>
    <row r="20" spans="1:13" x14ac:dyDescent="0.4">
      <c r="A20" s="3" t="s">
        <v>13</v>
      </c>
      <c r="B20" s="3" t="s">
        <v>162</v>
      </c>
      <c r="C20" s="3" t="s">
        <v>9</v>
      </c>
      <c r="D20" s="3" t="s">
        <v>22</v>
      </c>
      <c r="E20" s="4">
        <v>80</v>
      </c>
      <c r="F20" s="4">
        <v>67.333349055566899</v>
      </c>
      <c r="G20" s="4">
        <v>67.333349055566899</v>
      </c>
      <c r="H20" s="4">
        <v>0</v>
      </c>
      <c r="I20" s="14" t="s">
        <v>199</v>
      </c>
      <c r="J20" s="14" t="s">
        <v>199</v>
      </c>
      <c r="K20" s="15">
        <v>150.67577688419999</v>
      </c>
      <c r="L20" s="15">
        <v>-35.145784949499962</v>
      </c>
      <c r="M20" s="3" t="s">
        <v>42</v>
      </c>
    </row>
    <row r="21" spans="1:13" x14ac:dyDescent="0.4">
      <c r="A21" s="3" t="s">
        <v>13</v>
      </c>
      <c r="B21" s="3" t="s">
        <v>77</v>
      </c>
      <c r="C21" s="3" t="s">
        <v>9</v>
      </c>
      <c r="D21" s="3" t="s">
        <v>22</v>
      </c>
      <c r="E21" s="4">
        <v>5.48</v>
      </c>
      <c r="F21" s="4">
        <v>5.8041882294210509</v>
      </c>
      <c r="G21" s="4">
        <v>5.8041882294210509</v>
      </c>
      <c r="H21" s="4">
        <v>0</v>
      </c>
      <c r="I21" s="14" t="s">
        <v>200</v>
      </c>
      <c r="J21" s="14" t="s">
        <v>201</v>
      </c>
      <c r="K21" s="15">
        <v>167.9369869567285</v>
      </c>
      <c r="L21" s="15">
        <v>-29.025054000499949</v>
      </c>
      <c r="M21" s="3" t="s">
        <v>38</v>
      </c>
    </row>
    <row r="22" spans="1:13" x14ac:dyDescent="0.4">
      <c r="A22" s="16" t="s">
        <v>13</v>
      </c>
      <c r="B22" s="16" t="s">
        <v>12</v>
      </c>
      <c r="C22" s="16" t="s">
        <v>13</v>
      </c>
      <c r="D22" s="17">
        <v>3</v>
      </c>
      <c r="E22" s="16" t="s">
        <v>13</v>
      </c>
      <c r="F22" s="17">
        <f>SUM(F19:F21)</f>
        <v>157.54825652510394</v>
      </c>
      <c r="G22" s="17">
        <f>SUM(G19:G21)</f>
        <v>157.54825652510394</v>
      </c>
      <c r="H22" s="17">
        <f>SUM(H19:H21)</f>
        <v>0</v>
      </c>
      <c r="I22" s="16" t="s">
        <v>13</v>
      </c>
      <c r="J22" s="16" t="s">
        <v>13</v>
      </c>
      <c r="K22" s="16" t="s">
        <v>13</v>
      </c>
      <c r="L22" s="16" t="s">
        <v>13</v>
      </c>
      <c r="M22" s="16" t="s">
        <v>13</v>
      </c>
    </row>
    <row r="23" spans="1:13" x14ac:dyDescent="0.4">
      <c r="A23" s="3" t="s">
        <v>10</v>
      </c>
      <c r="B23" s="3" t="s">
        <v>162</v>
      </c>
      <c r="C23" s="3" t="s">
        <v>11</v>
      </c>
      <c r="D23" s="3" t="s">
        <v>20</v>
      </c>
      <c r="E23" s="4">
        <v>6312</v>
      </c>
      <c r="F23" s="4">
        <v>5530.1563517704953</v>
      </c>
      <c r="G23" s="4">
        <v>5530.1563517704953</v>
      </c>
      <c r="H23" s="4">
        <v>0</v>
      </c>
      <c r="I23" s="14" t="s">
        <v>199</v>
      </c>
      <c r="J23" s="14" t="s">
        <v>199</v>
      </c>
      <c r="K23" s="15">
        <v>150.73118196030299</v>
      </c>
      <c r="L23" s="15">
        <v>-35.162270089999957</v>
      </c>
      <c r="M23" s="3" t="s">
        <v>42</v>
      </c>
    </row>
    <row r="24" spans="1:13" x14ac:dyDescent="0.4">
      <c r="A24" s="3" t="s">
        <v>13</v>
      </c>
      <c r="B24" s="3" t="s">
        <v>66</v>
      </c>
      <c r="C24" s="3" t="s">
        <v>11</v>
      </c>
      <c r="D24" s="3" t="s">
        <v>20</v>
      </c>
      <c r="E24" s="4">
        <v>8719</v>
      </c>
      <c r="F24" s="4">
        <v>8776.6536514892232</v>
      </c>
      <c r="G24" s="4">
        <v>8776.6536514892232</v>
      </c>
      <c r="H24" s="4">
        <v>0</v>
      </c>
      <c r="I24" s="14" t="s">
        <v>202</v>
      </c>
      <c r="J24" s="14" t="s">
        <v>203</v>
      </c>
      <c r="K24" s="15">
        <v>105.6117055358808</v>
      </c>
      <c r="L24" s="15">
        <v>-10.50585093149996</v>
      </c>
      <c r="M24" s="3" t="s">
        <v>34</v>
      </c>
    </row>
    <row r="25" spans="1:13" x14ac:dyDescent="0.4">
      <c r="A25" s="3" t="s">
        <v>13</v>
      </c>
      <c r="B25" s="3" t="s">
        <v>163</v>
      </c>
      <c r="C25" s="3" t="s">
        <v>11</v>
      </c>
      <c r="D25" s="3" t="s">
        <v>20</v>
      </c>
      <c r="E25" s="4">
        <v>0</v>
      </c>
      <c r="F25" s="4">
        <v>1911121.92877708</v>
      </c>
      <c r="G25" s="4">
        <v>1911121.92877708</v>
      </c>
      <c r="H25" s="4">
        <v>0</v>
      </c>
      <c r="I25" s="14" t="s">
        <v>204</v>
      </c>
      <c r="J25" s="14" t="s">
        <v>204</v>
      </c>
      <c r="K25" s="15">
        <v>132.43907442000011</v>
      </c>
      <c r="L25" s="15">
        <v>-12.97884735015503</v>
      </c>
      <c r="M25" s="3" t="s">
        <v>164</v>
      </c>
    </row>
    <row r="26" spans="1:13" x14ac:dyDescent="0.4">
      <c r="A26" s="3" t="s">
        <v>13</v>
      </c>
      <c r="B26" s="3" t="s">
        <v>165</v>
      </c>
      <c r="C26" s="3" t="s">
        <v>11</v>
      </c>
      <c r="D26" s="3" t="s">
        <v>20</v>
      </c>
      <c r="E26" s="4">
        <v>480</v>
      </c>
      <c r="F26" s="4">
        <v>493.45912672190912</v>
      </c>
      <c r="G26" s="4">
        <v>493.45912672190912</v>
      </c>
      <c r="H26" s="4">
        <v>0</v>
      </c>
      <c r="I26" s="14" t="s">
        <v>200</v>
      </c>
      <c r="J26" s="14" t="s">
        <v>201</v>
      </c>
      <c r="K26" s="15">
        <v>167.9398824384412</v>
      </c>
      <c r="L26" s="15">
        <v>-29.01324651499996</v>
      </c>
      <c r="M26" s="3" t="s">
        <v>38</v>
      </c>
    </row>
    <row r="27" spans="1:13" x14ac:dyDescent="0.4">
      <c r="A27" s="3" t="s">
        <v>13</v>
      </c>
      <c r="B27" s="3" t="s">
        <v>166</v>
      </c>
      <c r="C27" s="3" t="s">
        <v>11</v>
      </c>
      <c r="D27" s="3" t="s">
        <v>20</v>
      </c>
      <c r="E27" s="4">
        <v>190</v>
      </c>
      <c r="F27" s="4">
        <v>192.079990170332</v>
      </c>
      <c r="G27" s="4">
        <v>192.079990170332</v>
      </c>
      <c r="H27" s="4">
        <v>0</v>
      </c>
      <c r="I27" s="14" t="s">
        <v>205</v>
      </c>
      <c r="J27" s="14" t="s">
        <v>205</v>
      </c>
      <c r="K27" s="15">
        <v>167.94875341180099</v>
      </c>
      <c r="L27" s="15">
        <v>-29.123069497999978</v>
      </c>
      <c r="M27" s="3" t="s">
        <v>38</v>
      </c>
    </row>
    <row r="28" spans="1:13" x14ac:dyDescent="0.4">
      <c r="A28" s="3" t="s">
        <v>13</v>
      </c>
      <c r="B28" s="3" t="s">
        <v>167</v>
      </c>
      <c r="C28" s="3" t="s">
        <v>11</v>
      </c>
      <c r="D28" s="3" t="s">
        <v>20</v>
      </c>
      <c r="E28" s="4">
        <v>2602</v>
      </c>
      <c r="F28" s="4">
        <v>213.09282092489639</v>
      </c>
      <c r="G28" s="4">
        <v>213.09282092489639</v>
      </c>
      <c r="H28" s="4">
        <v>0</v>
      </c>
      <c r="I28" s="14" t="s">
        <v>206</v>
      </c>
      <c r="J28" s="14" t="s">
        <v>206</v>
      </c>
      <c r="K28" s="15">
        <v>96.823386743500066</v>
      </c>
      <c r="L28" s="15">
        <v>-11.8323959381352</v>
      </c>
      <c r="M28" s="3" t="s">
        <v>34</v>
      </c>
    </row>
    <row r="29" spans="1:13" x14ac:dyDescent="0.4">
      <c r="A29" s="3" t="s">
        <v>13</v>
      </c>
      <c r="B29" s="3" t="s">
        <v>168</v>
      </c>
      <c r="C29" s="3" t="s">
        <v>11</v>
      </c>
      <c r="D29" s="3" t="s">
        <v>20</v>
      </c>
      <c r="E29" s="4">
        <v>132566</v>
      </c>
      <c r="F29" s="4">
        <v>133301.74011902299</v>
      </c>
      <c r="G29" s="4">
        <v>133301.74011902299</v>
      </c>
      <c r="H29" s="4">
        <v>0</v>
      </c>
      <c r="I29" s="14" t="s">
        <v>207</v>
      </c>
      <c r="J29" s="14" t="s">
        <v>201</v>
      </c>
      <c r="K29" s="15">
        <v>131.0194952845001</v>
      </c>
      <c r="L29" s="15">
        <v>-25.34166664388702</v>
      </c>
      <c r="M29" s="3" t="s">
        <v>32</v>
      </c>
    </row>
    <row r="30" spans="1:13" x14ac:dyDescent="0.4">
      <c r="A30" s="16" t="s">
        <v>13</v>
      </c>
      <c r="B30" s="16" t="s">
        <v>12</v>
      </c>
      <c r="C30" s="16" t="s">
        <v>13</v>
      </c>
      <c r="D30" s="17">
        <v>7</v>
      </c>
      <c r="E30" s="16" t="s">
        <v>13</v>
      </c>
      <c r="F30" s="17">
        <f>SUM(F23:F29)</f>
        <v>2059629.1108371799</v>
      </c>
      <c r="G30" s="17">
        <f>SUM(G23:G29)</f>
        <v>2059629.1108371799</v>
      </c>
      <c r="H30" s="17">
        <f>SUM(H23:H29)</f>
        <v>0</v>
      </c>
      <c r="I30" s="16" t="s">
        <v>13</v>
      </c>
      <c r="J30" s="16" t="s">
        <v>13</v>
      </c>
      <c r="K30" s="16" t="s">
        <v>13</v>
      </c>
      <c r="L30" s="16" t="s">
        <v>13</v>
      </c>
      <c r="M30" s="16" t="s">
        <v>13</v>
      </c>
    </row>
    <row r="31" spans="1:13" ht="15" thickBot="1" x14ac:dyDescent="0.45">
      <c r="A31" s="6" t="s">
        <v>12</v>
      </c>
      <c r="B31" s="6" t="s">
        <v>13</v>
      </c>
      <c r="C31" s="6" t="s">
        <v>13</v>
      </c>
      <c r="D31" s="7">
        <f>SUM(D4+D18+D22+D30)</f>
        <v>24</v>
      </c>
      <c r="E31" s="6" t="s">
        <v>13</v>
      </c>
      <c r="F31" s="7">
        <f>SUM(F4+F18+F22+F30)</f>
        <v>2102577.0241194111</v>
      </c>
      <c r="G31" s="7">
        <f>SUM(G4+G18+G22+G30)</f>
        <v>2100443.9211143437</v>
      </c>
      <c r="H31" s="7">
        <f>SUM(H4+H18+H22+H30)</f>
        <v>2133.1030050677932</v>
      </c>
      <c r="I31" s="6" t="s">
        <v>13</v>
      </c>
      <c r="J31" s="6" t="s">
        <v>13</v>
      </c>
      <c r="K31" s="6" t="s">
        <v>13</v>
      </c>
      <c r="L31" s="6" t="s">
        <v>13</v>
      </c>
      <c r="M31" s="6" t="s">
        <v>13</v>
      </c>
    </row>
    <row r="32" spans="1:13" x14ac:dyDescent="0.4">
      <c r="A32" s="30" t="s">
        <v>208</v>
      </c>
    </row>
    <row r="35" spans="1:1" x14ac:dyDescent="0.4">
      <c r="A35" s="32" t="s">
        <v>218</v>
      </c>
    </row>
    <row r="36" spans="1:1" x14ac:dyDescent="0.4">
      <c r="A36" s="32" t="s">
        <v>227</v>
      </c>
    </row>
    <row r="37" spans="1:1" x14ac:dyDescent="0.4">
      <c r="A37" s="32" t="s">
        <v>228</v>
      </c>
    </row>
    <row r="38" spans="1:1" x14ac:dyDescent="0.4">
      <c r="A38" s="32" t="s">
        <v>229</v>
      </c>
    </row>
    <row r="39" spans="1:1" x14ac:dyDescent="0.4">
      <c r="A39" s="32"/>
    </row>
    <row r="40" spans="1:1" x14ac:dyDescent="0.4">
      <c r="A40" s="32" t="s">
        <v>231</v>
      </c>
    </row>
    <row r="41" spans="1:1" x14ac:dyDescent="0.4">
      <c r="A41" s="32" t="s">
        <v>212</v>
      </c>
    </row>
    <row r="42" spans="1:1" x14ac:dyDescent="0.4">
      <c r="A42" s="32" t="s">
        <v>232</v>
      </c>
    </row>
  </sheetData>
  <mergeCells count="1">
    <mergeCell ref="A1:M1"/>
  </mergeCells>
  <pageMargins left="0.7" right="0.7" top="0.75" bottom="0.75" header="0.3" footer="0.3"/>
  <headerFooter>
    <oddHeader>&amp;C&amp;"Calibri"&amp;12&amp;KFF0000 OFFICIAL&amp;1#_x000D_</oddHeader>
    <oddFooter>&amp;C_x000D_&amp;1#&amp;"Calibri"&amp;12&amp;KFF0000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81c2681-db7b-4a56-9abd-a3238a78f6b2">
      <Terms xmlns="http://schemas.microsoft.com/office/infopath/2007/PartnerControls"/>
    </lcf76f155ced4ddcb4097134ff3c332f>
    <TaxCatchAll xmlns="a95247a4-6a6b-40fb-87b6-0fb2f012c5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01B2BE74D025469E1D0E28F10DD2C8" ma:contentTypeVersion="6" ma:contentTypeDescription="Create a new document." ma:contentTypeScope="" ma:versionID="29ebb019d354d671b53245c09b1e2d80">
  <xsd:schema xmlns:xsd="http://www.w3.org/2001/XMLSchema" xmlns:xs="http://www.w3.org/2001/XMLSchema" xmlns:p="http://schemas.microsoft.com/office/2006/metadata/properties" xmlns:ns1="http://schemas.microsoft.com/sharepoint/v3" xmlns:ns2="b98728ac-f998-415c-abee-6b046fb1441e" xmlns:ns3="d869c146-c82e-4435-92e4-da91542262fd" xmlns:ns4="d81c2681-db7b-4a56-9abd-a3238a78f6b2" xmlns:ns5="a95247a4-6a6b-40fb-87b6-0fb2f012c536" targetNamespace="http://schemas.microsoft.com/office/2006/metadata/properties" ma:root="true" ma:fieldsID="25bdb6a5bc4ffbbe42be2b4704fa052c" ns1:_="" ns2:_="" ns3:_="" ns4:_="" ns5:_="">
    <xsd:import namespace="http://schemas.microsoft.com/sharepoint/v3"/>
    <xsd:import namespace="b98728ac-f998-415c-abee-6b046fb1441e"/>
    <xsd:import namespace="d869c146-c82e-4435-92e4-da91542262fd"/>
    <xsd:import namespace="d81c2681-db7b-4a56-9abd-a3238a78f6b2"/>
    <xsd:import namespace="a95247a4-6a6b-40fb-87b6-0fb2f012c536"/>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8728ac-f998-415c-abee-6b046fb144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69c146-c82e-4435-92e4-da91542262f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1c2681-db7b-4a56-9abd-a3238a78f6b2" elementFormDefault="qualified">
    <xsd:import namespace="http://schemas.microsoft.com/office/2006/documentManagement/types"/>
    <xsd:import namespace="http://schemas.microsoft.com/office/infopath/2007/PartnerControls"/>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c081d5d-8f15-4d39-99f9-175405a35875"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5247a4-6a6b-40fb-87b6-0fb2f012c53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63ff4dd4-e1ac-40df-be8e-b1e036f80c8e}" ma:internalName="TaxCatchAll" ma:showField="CatchAllData" ma:web="a95247a4-6a6b-40fb-87b6-0fb2f012c5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ACCBB7-A402-4285-BC5C-CE497F847A56}">
  <ds:schemaRefs>
    <ds:schemaRef ds:uri="http://schemas.microsoft.com/office/infopath/2007/PartnerControls"/>
    <ds:schemaRef ds:uri="a95247a4-6a6b-40fb-87b6-0fb2f012c536"/>
    <ds:schemaRef ds:uri="http://purl.org/dc/dcmitype/"/>
    <ds:schemaRef ds:uri="http://schemas.microsoft.com/office/2006/metadata/properties"/>
    <ds:schemaRef ds:uri="http://purl.org/dc/elements/1.1/"/>
    <ds:schemaRef ds:uri="http://www.w3.org/XML/1998/namespace"/>
    <ds:schemaRef ds:uri="http://purl.org/dc/terms/"/>
    <ds:schemaRef ds:uri="http://schemas.openxmlformats.org/package/2006/metadata/core-properties"/>
    <ds:schemaRef ds:uri="d81c2681-db7b-4a56-9abd-a3238a78f6b2"/>
    <ds:schemaRef ds:uri="http://schemas.microsoft.com/office/2006/documentManagement/types"/>
    <ds:schemaRef ds:uri="d869c146-c82e-4435-92e4-da91542262fd"/>
    <ds:schemaRef ds:uri="b98728ac-f998-415c-abee-6b046fb1441e"/>
    <ds:schemaRef ds:uri="http://schemas.microsoft.com/sharepoint/v3"/>
  </ds:schemaRefs>
</ds:datastoreItem>
</file>

<file path=customXml/itemProps2.xml><?xml version="1.0" encoding="utf-8"?>
<ds:datastoreItem xmlns:ds="http://schemas.openxmlformats.org/officeDocument/2006/customXml" ds:itemID="{9715DC56-6F7A-4296-AB98-04916B2E8981}">
  <ds:schemaRefs>
    <ds:schemaRef ds:uri="http://schemas.microsoft.com/sharepoint/v3/contenttype/forms"/>
  </ds:schemaRefs>
</ds:datastoreItem>
</file>

<file path=customXml/itemProps3.xml><?xml version="1.0" encoding="utf-8"?>
<ds:datastoreItem xmlns:ds="http://schemas.openxmlformats.org/officeDocument/2006/customXml" ds:itemID="{643044A6-89C3-49BD-ADA7-2B2F20D729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98728ac-f998-415c-abee-6b046fb1441e"/>
    <ds:schemaRef ds:uri="d869c146-c82e-4435-92e4-da91542262fd"/>
    <ds:schemaRef ds:uri="d81c2681-db7b-4a56-9abd-a3238a78f6b2"/>
    <ds:schemaRef ds:uri="a95247a4-6a6b-40fb-87b6-0fb2f012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e6ba7ff-9897-4e65-9803-3be34fd9cf5a}" enabled="1" method="Privileged" siteId="{8c3c81bc-2b3c-44af-b3f7-6f620b3910ee}"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Type</vt:lpstr>
      <vt:lpstr>IUCN Category</vt:lpstr>
      <vt:lpstr>IBRA Bioregions</vt:lpstr>
      <vt:lpstr>Bioregion by Type</vt:lpstr>
      <vt:lpstr>Bioregion by IUCN</vt:lpstr>
      <vt:lpstr>IBRA Subregions</vt:lpstr>
      <vt:lpstr>Detailed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Terrestrial Protected Areas by IBRA Subregions in Commonwealth (2024)</dc:title>
  <dc:creator/>
  <cp:lastModifiedBy>Wendy PHAM</cp:lastModifiedBy>
  <dcterms:created xsi:type="dcterms:W3CDTF">2022-12-16T05:56:53Z</dcterms:created>
  <dcterms:modified xsi:type="dcterms:W3CDTF">2025-05-09T02:21:45Z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0x010100D001B2BE74D025469E1D0E28F10DD2C8</vt:lpwstr>
  </property>
  <property fmtid="{D5CDD505-2E9C-101B-9397-08002B2CF9AE}" pid="3" name="MediaServiceImageTags">
    <vt:lpwstr/>
  </property>
</Properties>
</file>