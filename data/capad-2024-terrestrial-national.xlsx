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dcceew2.sharepoint.com/sites/DCCEEW-DSaD/Shared Documents/Web Pubs/DCCEEW/Environment/Land/"/>
    </mc:Choice>
  </mc:AlternateContent>
  <xr:revisionPtr revIDLastSave="1" documentId="13_ncr:1_{7FEC6BEB-358F-4FC5-842E-17A267C525DD}" xr6:coauthVersionLast="47" xr6:coauthVersionMax="47" xr10:uidLastSave="{B3188206-C0AC-450F-B7B3-0225B3A12A5F}"/>
  <bookViews>
    <workbookView xWindow="-103" yWindow="-103" windowWidth="16663" windowHeight="8743" xr2:uid="{00000000-000D-0000-FFFF-FFFF00000000}"/>
  </bookViews>
  <sheets>
    <sheet name="Type" sheetId="1" r:id="rId1"/>
    <sheet name="Jurisdiction" sheetId="2" r:id="rId2"/>
    <sheet name="Governance" sheetId="3" r:id="rId3"/>
    <sheet name="IUCN Category" sheetId="4" r:id="rId4"/>
    <sheet name="IBRA Bioregions" sheetId="5" r:id="rId5"/>
    <sheet name="Bioregion by IUCN" sheetId="6" r:id="rId6"/>
    <sheet name="IBRA Subregion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4" l="1"/>
  <c r="D13" i="4"/>
  <c r="E69" i="1" l="1"/>
  <c r="E3" i="2"/>
  <c r="E5" i="2"/>
  <c r="E6" i="2"/>
  <c r="E7" i="2"/>
  <c r="E8" i="2"/>
  <c r="E9" i="2"/>
  <c r="E10" i="2"/>
  <c r="E11" i="2"/>
  <c r="E12" i="2"/>
  <c r="B13" i="2"/>
  <c r="C13" i="2"/>
  <c r="C16" i="2" s="1"/>
  <c r="D13" i="2"/>
  <c r="D16" i="2" s="1"/>
  <c r="F13" i="2"/>
  <c r="C17" i="4"/>
  <c r="E13" i="2" l="1"/>
  <c r="E103" i="1" l="1"/>
  <c r="C92" i="6"/>
  <c r="D92" i="6"/>
  <c r="E92" i="6"/>
  <c r="F92" i="6"/>
  <c r="G92" i="6"/>
  <c r="H92" i="6"/>
  <c r="I92" i="6"/>
  <c r="J92" i="6"/>
  <c r="K92" i="6"/>
  <c r="L92" i="6"/>
  <c r="M92" i="6"/>
  <c r="O92" i="6" s="1"/>
  <c r="N92" i="6"/>
  <c r="E92" i="5"/>
  <c r="C69" i="1"/>
  <c r="C103" i="1"/>
  <c r="C72" i="1" s="1"/>
  <c r="B103" i="1"/>
  <c r="B69" i="1" l="1"/>
  <c r="I422" i="7"/>
  <c r="E13" i="4" l="1"/>
  <c r="B13" i="4"/>
  <c r="B17" i="4" l="1"/>
  <c r="G422" i="7"/>
  <c r="F422" i="7"/>
  <c r="F92" i="5"/>
  <c r="G92" i="5" s="1"/>
  <c r="E7" i="3"/>
  <c r="C7" i="3"/>
  <c r="B7" i="3"/>
  <c r="B11" i="3" s="1"/>
  <c r="D7" i="3" l="1"/>
  <c r="C11" i="3"/>
  <c r="H422" i="7"/>
</calcChain>
</file>

<file path=xl/sharedStrings.xml><?xml version="1.0" encoding="utf-8"?>
<sst xmlns="http://schemas.openxmlformats.org/spreadsheetml/2006/main" count="2967" uniqueCount="1231">
  <si>
    <t>Terrestrial Protected Areas by Type in Australia (2024)</t>
  </si>
  <si>
    <t>Type</t>
  </si>
  <si>
    <r>
      <rPr>
        <b/>
        <vertAlign val="superscript"/>
        <sz val="10"/>
        <color theme="1"/>
        <rFont val="Arial"/>
        <family val="2"/>
      </rPr>
      <t>1</t>
    </r>
    <r>
      <rPr>
        <b/>
        <sz val="10"/>
        <color theme="1"/>
        <rFont val="Arial"/>
        <family val="2"/>
      </rPr>
      <t>Number</t>
    </r>
  </si>
  <si>
    <r>
      <rPr>
        <b/>
        <vertAlign val="superscript"/>
        <sz val="10"/>
        <color theme="1"/>
        <rFont val="Arial"/>
        <family val="2"/>
      </rPr>
      <t>2</t>
    </r>
    <r>
      <rPr>
        <b/>
        <sz val="10"/>
        <color theme="1"/>
        <rFont val="Arial"/>
        <family val="2"/>
      </rPr>
      <t>Area (ha)</t>
    </r>
  </si>
  <si>
    <t>Jurisdiction(s)</t>
  </si>
  <si>
    <r>
      <rPr>
        <b/>
        <vertAlign val="superscript"/>
        <sz val="10"/>
        <color theme="1"/>
        <rFont val="Arial"/>
        <family val="2"/>
      </rPr>
      <t>3</t>
    </r>
    <r>
      <rPr>
        <b/>
        <sz val="10"/>
        <color theme="1"/>
        <rFont val="Arial"/>
        <family val="2"/>
      </rPr>
      <t>% of Australia</t>
    </r>
  </si>
  <si>
    <t>5(1)(g) Reserve</t>
  </si>
  <si>
    <t>WA</t>
  </si>
  <si>
    <t>5(1)(h) Reserve</t>
  </si>
  <si>
    <t>Aboriginal Area</t>
  </si>
  <si>
    <t>NSW</t>
  </si>
  <si>
    <t>Antarctic Specially Managed Area</t>
  </si>
  <si>
    <t>EXT</t>
  </si>
  <si>
    <t>Antarctic Specially Protected Area</t>
  </si>
  <si>
    <t>Biodiversity Stewardship Agreement</t>
  </si>
  <si>
    <t>Botanic Gardens</t>
  </si>
  <si>
    <t>Botanic Gardens (Commonwealth)</t>
  </si>
  <si>
    <t>CCA Zone 1 National Park</t>
  </si>
  <si>
    <t>CCA Zone 2 Aboriginal Area</t>
  </si>
  <si>
    <t>CCA Zone 3 State Conservation Area</t>
  </si>
  <si>
    <t>Coastal Reserve</t>
  </si>
  <si>
    <t>NT</t>
  </si>
  <si>
    <t>Conservation Agreement</t>
  </si>
  <si>
    <t>Conservation Area</t>
  </si>
  <si>
    <t>TAS,NT</t>
  </si>
  <si>
    <t>Conservation Covenant</t>
  </si>
  <si>
    <t>Conservation Park</t>
  </si>
  <si>
    <t>Conservation Reserve</t>
  </si>
  <si>
    <t>Coordinated Conservation Area</t>
  </si>
  <si>
    <t>QLD</t>
  </si>
  <si>
    <t>Flora Reserve</t>
  </si>
  <si>
    <t>Forest Reserve</t>
  </si>
  <si>
    <t>QLD,SA</t>
  </si>
  <si>
    <t>Game Reserve</t>
  </si>
  <si>
    <t>Heritage Agreement</t>
  </si>
  <si>
    <t>SA</t>
  </si>
  <si>
    <t>Heritage River</t>
  </si>
  <si>
    <t>VIC</t>
  </si>
  <si>
    <t>Historic Site</t>
  </si>
  <si>
    <t>TAS,NSW</t>
  </si>
  <si>
    <t>Historical Reserve</t>
  </si>
  <si>
    <t>Hunting Reserve</t>
  </si>
  <si>
    <t>Indigenous Protected Area</t>
  </si>
  <si>
    <t>Karst Conservation Reserve</t>
  </si>
  <si>
    <t>Management Area</t>
  </si>
  <si>
    <t>NCT Agreement</t>
  </si>
  <si>
    <t>NRS Addition - Gazettal in Progress</t>
  </si>
  <si>
    <t>National Park</t>
  </si>
  <si>
    <t>National Park (Commonwealth)</t>
  </si>
  <si>
    <t>National Park (Scientific)</t>
  </si>
  <si>
    <t>National Park Aboriginal</t>
  </si>
  <si>
    <t>National Parks Act Schedule 4 park or reserve</t>
  </si>
  <si>
    <t>Natural Catchment Area</t>
  </si>
  <si>
    <t>Natural Features Reserve</t>
  </si>
  <si>
    <t>Nature Conservation Reserve</t>
  </si>
  <si>
    <t>Nature Park</t>
  </si>
  <si>
    <t>Nature Recreation Area</t>
  </si>
  <si>
    <t>TAS</t>
  </si>
  <si>
    <t>Nature Refuge</t>
  </si>
  <si>
    <t>Nature Reserve</t>
  </si>
  <si>
    <t>Other</t>
  </si>
  <si>
    <t>WA,VIC</t>
  </si>
  <si>
    <t>Other Conservation Area</t>
  </si>
  <si>
    <t>NT,TAS</t>
  </si>
  <si>
    <t>Other Conservation Area or Nature Park</t>
  </si>
  <si>
    <t>Private Nature Reserve</t>
  </si>
  <si>
    <t>Private Sanctuary</t>
  </si>
  <si>
    <t>Proposed National Parks Act park or park addition</t>
  </si>
  <si>
    <t>VIC,NT</t>
  </si>
  <si>
    <t>Recreation Park</t>
  </si>
  <si>
    <t>Reference Area</t>
  </si>
  <si>
    <t>Regional Park</t>
  </si>
  <si>
    <t>Regional Reserve</t>
  </si>
  <si>
    <t>TAS,SA</t>
  </si>
  <si>
    <t>Registered Property Agreement</t>
  </si>
  <si>
    <t>Remote and Natural Area - Schedule 6, National Parks Act</t>
  </si>
  <si>
    <t>Remote and Natural Area - not scheduled under Nat Parks Act</t>
  </si>
  <si>
    <t>Resources Reserve</t>
  </si>
  <si>
    <t>Southern Mallee Private Reserve</t>
  </si>
  <si>
    <t>Special Wildlife Reserve</t>
  </si>
  <si>
    <t>State Conservation Area</t>
  </si>
  <si>
    <t>State Park</t>
  </si>
  <si>
    <t>State Reserve</t>
  </si>
  <si>
    <t>TAS,WA</t>
  </si>
  <si>
    <t>Wilderness Park</t>
  </si>
  <si>
    <t>Wilderness Protection Area</t>
  </si>
  <si>
    <t>Wilderness Zone</t>
  </si>
  <si>
    <t>VIC,ACT</t>
  </si>
  <si>
    <t>Total</t>
  </si>
  <si>
    <t/>
  </si>
  <si>
    <t>Total land area of Australia (ha)</t>
  </si>
  <si>
    <t>Additional types WITHIN or PARTIALLY WITHIN the protected areas above</t>
  </si>
  <si>
    <t>Number</t>
  </si>
  <si>
    <t>Overlapping Area (ha)</t>
  </si>
  <si>
    <t>TAS,VIC,WA</t>
  </si>
  <si>
    <t>SA,WA,VIC</t>
  </si>
  <si>
    <t>VIC,NSW,SA,WA,TAS</t>
  </si>
  <si>
    <t>WA,QLD,NT,NSW,SA,VIC,TAS</t>
  </si>
  <si>
    <t>QLD,NSW,ACT,WA</t>
  </si>
  <si>
    <t>Additional Total</t>
  </si>
  <si>
    <t>Terrestrial Protected Areas in Australia by Jurisdiction (2024)</t>
  </si>
  <si>
    <t>Jurisdiction</t>
  </si>
  <si>
    <t>Jurisdiction Area (ha)</t>
  </si>
  <si>
    <r>
      <rPr>
        <b/>
        <vertAlign val="superscript"/>
        <sz val="10"/>
        <color theme="1"/>
        <rFont val="Arial"/>
        <family val="2"/>
      </rPr>
      <t>2</t>
    </r>
    <r>
      <rPr>
        <b/>
        <sz val="10"/>
        <color theme="1"/>
        <rFont val="Arial"/>
        <family val="2"/>
      </rPr>
      <t>Protected Area (ha)</t>
    </r>
  </si>
  <si>
    <t xml:space="preserve">% of Jurisdiction Protected </t>
  </si>
  <si>
    <t>Contribution to NRS (%)</t>
  </si>
  <si>
    <t>ACT</t>
  </si>
  <si>
    <t>Terrestrial Protected Areas by Governance in Australia (2024)</t>
  </si>
  <si>
    <t>Governance</t>
  </si>
  <si>
    <t>Community</t>
  </si>
  <si>
    <t>Government</t>
  </si>
  <si>
    <t>Joint</t>
  </si>
  <si>
    <t>Private</t>
  </si>
  <si>
    <t>Total land area of Australia (Ha)</t>
  </si>
  <si>
    <t>Terrestrial Protected Areas by IUCN Category in Australia (2024)</t>
  </si>
  <si>
    <t>IUCN Category</t>
  </si>
  <si>
    <t>Ia</t>
  </si>
  <si>
    <t>Ib</t>
  </si>
  <si>
    <t>II</t>
  </si>
  <si>
    <t>III</t>
  </si>
  <si>
    <t>IV</t>
  </si>
  <si>
    <t>V</t>
  </si>
  <si>
    <t>VI</t>
  </si>
  <si>
    <t>Not Applicable</t>
  </si>
  <si>
    <t>Not Assigned</t>
  </si>
  <si>
    <t>Area of Australia (ha)</t>
  </si>
  <si>
    <t>Terrestrial Protected Areas by IBRA Bioregions in Australia (2024)</t>
  </si>
  <si>
    <t>IBRA Region Name</t>
  </si>
  <si>
    <t>IBRA Region Code</t>
  </si>
  <si>
    <t>IBRA Area (ha)</t>
  </si>
  <si>
    <r>
      <rPr>
        <b/>
        <vertAlign val="superscript"/>
        <sz val="10"/>
        <color theme="1"/>
        <rFont val="Arial"/>
        <family val="2"/>
      </rPr>
      <t>1</t>
    </r>
    <r>
      <rPr>
        <b/>
        <sz val="10"/>
        <color theme="1"/>
        <rFont val="Arial"/>
        <family val="2"/>
      </rPr>
      <t>Area Protected (ha)</t>
    </r>
  </si>
  <si>
    <t>% IBRA Region Protected</t>
  </si>
  <si>
    <t>Arnhem Coast</t>
  </si>
  <si>
    <t>ARC</t>
  </si>
  <si>
    <t>Arnhem Plateau</t>
  </si>
  <si>
    <t>ARP</t>
  </si>
  <si>
    <t>Australian Alps</t>
  </si>
  <si>
    <t>AUA</t>
  </si>
  <si>
    <t>Avon Wheatbelt</t>
  </si>
  <si>
    <t>AVW</t>
  </si>
  <si>
    <t>Ben Lomond</t>
  </si>
  <si>
    <t>BEL</t>
  </si>
  <si>
    <t>Brigalow Belt North</t>
  </si>
  <si>
    <t>BBN</t>
  </si>
  <si>
    <t>Brigalow Belt South</t>
  </si>
  <si>
    <t>BBS</t>
  </si>
  <si>
    <t>Broken Hill Complex</t>
  </si>
  <si>
    <t>BHC</t>
  </si>
  <si>
    <t>Burt Plain</t>
  </si>
  <si>
    <t>BRT</t>
  </si>
  <si>
    <t>Cape York Peninsula</t>
  </si>
  <si>
    <t>CYP</t>
  </si>
  <si>
    <t>Carnarvon</t>
  </si>
  <si>
    <t>CAR</t>
  </si>
  <si>
    <t>Central Arnhem</t>
  </si>
  <si>
    <t>CEA</t>
  </si>
  <si>
    <t>Central Kimberley</t>
  </si>
  <si>
    <t>CEK</t>
  </si>
  <si>
    <t>Central Mackay Coast</t>
  </si>
  <si>
    <t>CMC</t>
  </si>
  <si>
    <t>Central Ranges</t>
  </si>
  <si>
    <t>CER</t>
  </si>
  <si>
    <t>Channel Country</t>
  </si>
  <si>
    <t>CHC</t>
  </si>
  <si>
    <t>Cobar Peneplain</t>
  </si>
  <si>
    <t>COP</t>
  </si>
  <si>
    <t>Coolgardie</t>
  </si>
  <si>
    <t>COO</t>
  </si>
  <si>
    <t>Coral Sea</t>
  </si>
  <si>
    <t>COS</t>
  </si>
  <si>
    <t>-</t>
  </si>
  <si>
    <t>Daly Basin</t>
  </si>
  <si>
    <t>DAB</t>
  </si>
  <si>
    <t>Dampierland</t>
  </si>
  <si>
    <t>DAL</t>
  </si>
  <si>
    <t>Darling Riverine Plains</t>
  </si>
  <si>
    <t>DRP</t>
  </si>
  <si>
    <t>Darwin Coastal</t>
  </si>
  <si>
    <t>DAC</t>
  </si>
  <si>
    <t>Davenport Murchison Ranges</t>
  </si>
  <si>
    <t>DMR</t>
  </si>
  <si>
    <t>Desert Uplands</t>
  </si>
  <si>
    <t>DEU</t>
  </si>
  <si>
    <t>Einasleigh Uplands</t>
  </si>
  <si>
    <t>EIU</t>
  </si>
  <si>
    <t>Esperance Plains</t>
  </si>
  <si>
    <t>ESP</t>
  </si>
  <si>
    <t>Eyre Yorke Block</t>
  </si>
  <si>
    <t>EYB</t>
  </si>
  <si>
    <t>Finke</t>
  </si>
  <si>
    <t>FIN</t>
  </si>
  <si>
    <t>Flinders Lofty Block</t>
  </si>
  <si>
    <t>FLB</t>
  </si>
  <si>
    <t>Furneaux</t>
  </si>
  <si>
    <t>FUR</t>
  </si>
  <si>
    <t>Gascoyne</t>
  </si>
  <si>
    <t>GAS</t>
  </si>
  <si>
    <t>Gawler</t>
  </si>
  <si>
    <t>GAW</t>
  </si>
  <si>
    <t>Geraldton Sandplains</t>
  </si>
  <si>
    <t>GES</t>
  </si>
  <si>
    <t>Gibson Desert</t>
  </si>
  <si>
    <t>GID</t>
  </si>
  <si>
    <t>Great Sandy Desert</t>
  </si>
  <si>
    <t>GSD</t>
  </si>
  <si>
    <t>Great Victoria Desert</t>
  </si>
  <si>
    <t>GVD</t>
  </si>
  <si>
    <t>Gulf Coastal</t>
  </si>
  <si>
    <t>GUC</t>
  </si>
  <si>
    <t>Gulf Fall and Uplands</t>
  </si>
  <si>
    <t>GFU</t>
  </si>
  <si>
    <t>Gulf Plains</t>
  </si>
  <si>
    <t>GUP</t>
  </si>
  <si>
    <t>Hampton</t>
  </si>
  <si>
    <t>HAM</t>
  </si>
  <si>
    <t>Indian Tropical Islands</t>
  </si>
  <si>
    <t>ITI</t>
  </si>
  <si>
    <t>Jarrah Forest</t>
  </si>
  <si>
    <t>JAF</t>
  </si>
  <si>
    <t>Kanmantoo</t>
  </si>
  <si>
    <t>KAN</t>
  </si>
  <si>
    <t>King</t>
  </si>
  <si>
    <t>KIN</t>
  </si>
  <si>
    <t>Little Sandy Desert</t>
  </si>
  <si>
    <t>LSD</t>
  </si>
  <si>
    <t>MacDonnell Ranges</t>
  </si>
  <si>
    <t>MAC</t>
  </si>
  <si>
    <t>Mallee</t>
  </si>
  <si>
    <t>MAL</t>
  </si>
  <si>
    <t>Mitchell Grass Downs</t>
  </si>
  <si>
    <t>MGD</t>
  </si>
  <si>
    <t>Mount Isa Inlier</t>
  </si>
  <si>
    <t>MII</t>
  </si>
  <si>
    <t>Mulga Lands</t>
  </si>
  <si>
    <t>MUL</t>
  </si>
  <si>
    <t>Murchison</t>
  </si>
  <si>
    <t>MUR</t>
  </si>
  <si>
    <t>Murray Darling Depression</t>
  </si>
  <si>
    <t>MDD</t>
  </si>
  <si>
    <t>NSW North Coast</t>
  </si>
  <si>
    <t>NNC</t>
  </si>
  <si>
    <t>NSW South Western Slopes</t>
  </si>
  <si>
    <t>NSS</t>
  </si>
  <si>
    <t>Nandewar</t>
  </si>
  <si>
    <t>NAN</t>
  </si>
  <si>
    <t>Naracoorte Coastal Plain</t>
  </si>
  <si>
    <t>NCP</t>
  </si>
  <si>
    <t>New England Tablelands</t>
  </si>
  <si>
    <t>NET</t>
  </si>
  <si>
    <t>Northern Kimberley</t>
  </si>
  <si>
    <t>NOK</t>
  </si>
  <si>
    <t>Nullarbor</t>
  </si>
  <si>
    <t>NUL</t>
  </si>
  <si>
    <t>Ord Victoria Plain</t>
  </si>
  <si>
    <t>OVP</t>
  </si>
  <si>
    <t>Pacific Subtropical Islands</t>
  </si>
  <si>
    <t>PSI</t>
  </si>
  <si>
    <t>Pilbara</t>
  </si>
  <si>
    <t>PIL</t>
  </si>
  <si>
    <t>Pine Creek</t>
  </si>
  <si>
    <t>PCK</t>
  </si>
  <si>
    <t>Riverina</t>
  </si>
  <si>
    <t>RIV</t>
  </si>
  <si>
    <t>Simpson Strzelecki Dunefields</t>
  </si>
  <si>
    <t>SSD</t>
  </si>
  <si>
    <t>South East Coastal Plain</t>
  </si>
  <si>
    <t>SCP</t>
  </si>
  <si>
    <t>South East Corner</t>
  </si>
  <si>
    <t>SEC</t>
  </si>
  <si>
    <t>South Eastern Highlands</t>
  </si>
  <si>
    <t>SEH</t>
  </si>
  <si>
    <t>South Eastern Queensland</t>
  </si>
  <si>
    <t>SEQ</t>
  </si>
  <si>
    <t>Southern Volcanic Plain</t>
  </si>
  <si>
    <t>SVP</t>
  </si>
  <si>
    <t>Stony Plains</t>
  </si>
  <si>
    <t>STP</t>
  </si>
  <si>
    <t>Sturt Plateau</t>
  </si>
  <si>
    <t>STU</t>
  </si>
  <si>
    <t>Subantarctic Islands</t>
  </si>
  <si>
    <t>SAI</t>
  </si>
  <si>
    <t>Swan Coastal Plain</t>
  </si>
  <si>
    <t>SWA</t>
  </si>
  <si>
    <t>Sydney Basin</t>
  </si>
  <si>
    <t>SYB</t>
  </si>
  <si>
    <t>Tanami</t>
  </si>
  <si>
    <t>TAN</t>
  </si>
  <si>
    <t>Tasmanian Central Highlands</t>
  </si>
  <si>
    <t>TCH</t>
  </si>
  <si>
    <t>Tasmanian Northern Midlands</t>
  </si>
  <si>
    <t>TNM</t>
  </si>
  <si>
    <t>Tasmanian Northern Slopes</t>
  </si>
  <si>
    <t>TNS</t>
  </si>
  <si>
    <t>Tasmanian South East</t>
  </si>
  <si>
    <t>TSE</t>
  </si>
  <si>
    <t>Tasmanian Southern Ranges</t>
  </si>
  <si>
    <t>TSR</t>
  </si>
  <si>
    <t>Tasmanian West</t>
  </si>
  <si>
    <t>TWE</t>
  </si>
  <si>
    <t>Tiwi Cobourg</t>
  </si>
  <si>
    <t>TIW</t>
  </si>
  <si>
    <t>Victoria Bonaparte</t>
  </si>
  <si>
    <t>VIB</t>
  </si>
  <si>
    <t>Victorian Midlands</t>
  </si>
  <si>
    <t>VIM</t>
  </si>
  <si>
    <t>Warren</t>
  </si>
  <si>
    <t>WAR</t>
  </si>
  <si>
    <t>Wet Tropics</t>
  </si>
  <si>
    <t>WET</t>
  </si>
  <si>
    <t>Yalgoo</t>
  </si>
  <si>
    <t>YAL</t>
  </si>
  <si>
    <t>Terrestrial Protected Areas by Bioregion by IUCN in Australia (2024)</t>
  </si>
  <si>
    <t>Total Area Protected (ha)</t>
  </si>
  <si>
    <t>IBRA Region Area (ha)</t>
  </si>
  <si>
    <t>Terrestrial Protected Areas in Australia (2024)</t>
  </si>
  <si>
    <t>IBRA Subregion Name</t>
  </si>
  <si>
    <t>IBRA Subregion Code</t>
  </si>
  <si>
    <t>Subregion Area (ha)</t>
  </si>
  <si>
    <t>% IBRA Subregion Protected</t>
  </si>
  <si>
    <t>Alice Tableland</t>
  </si>
  <si>
    <t>DEU02</t>
  </si>
  <si>
    <t>Alligator</t>
  </si>
  <si>
    <t>ARP01</t>
  </si>
  <si>
    <t>Amedeus</t>
  </si>
  <si>
    <t>GSD04</t>
  </si>
  <si>
    <t>Anakie Inlier</t>
  </si>
  <si>
    <t>BBN09</t>
  </si>
  <si>
    <t>Andado</t>
  </si>
  <si>
    <t>SSD01</t>
  </si>
  <si>
    <t>Angalarri</t>
  </si>
  <si>
    <t>VIB03</t>
  </si>
  <si>
    <t>Arcadia</t>
  </si>
  <si>
    <t>BBS06</t>
  </si>
  <si>
    <t>Arcoona Plateau</t>
  </si>
  <si>
    <t>GAW04</t>
  </si>
  <si>
    <t>Armidale Plateau</t>
  </si>
  <si>
    <t>NET04</t>
  </si>
  <si>
    <t>Armraynald Plains</t>
  </si>
  <si>
    <t>GUP02</t>
  </si>
  <si>
    <t>Ashburton</t>
  </si>
  <si>
    <t>GAS01</t>
  </si>
  <si>
    <t>Ashburton Range</t>
  </si>
  <si>
    <t>DMR01</t>
  </si>
  <si>
    <t>Atartinga</t>
  </si>
  <si>
    <t>BRT02</t>
  </si>
  <si>
    <t>Atherton</t>
  </si>
  <si>
    <t>WET04</t>
  </si>
  <si>
    <t>Augustus</t>
  </si>
  <si>
    <t>GAS03</t>
  </si>
  <si>
    <t>Baltana</t>
  </si>
  <si>
    <t>STP07</t>
  </si>
  <si>
    <t>Banana-Auburn Ranges</t>
  </si>
  <si>
    <t>BBS08</t>
  </si>
  <si>
    <t>Barakula</t>
  </si>
  <si>
    <t>BBS13</t>
  </si>
  <si>
    <t>Barkly</t>
  </si>
  <si>
    <t>DMR03</t>
  </si>
  <si>
    <t>Barkly Tableland</t>
  </si>
  <si>
    <t>MGD02</t>
  </si>
  <si>
    <t>NT, QLD</t>
  </si>
  <si>
    <t>Barnato Downs</t>
  </si>
  <si>
    <t>COP02</t>
  </si>
  <si>
    <t>Barrier Range</t>
  </si>
  <si>
    <t>BHC01</t>
  </si>
  <si>
    <t>NSW, SA</t>
  </si>
  <si>
    <t>Barrier Range Outwash</t>
  </si>
  <si>
    <t>BHC04</t>
  </si>
  <si>
    <t>Barrington</t>
  </si>
  <si>
    <t>NNC13</t>
  </si>
  <si>
    <t>Basalt Downs</t>
  </si>
  <si>
    <t>BBN10</t>
  </si>
  <si>
    <t>Bateman</t>
  </si>
  <si>
    <t>SEC03</t>
  </si>
  <si>
    <t>Bathurst</t>
  </si>
  <si>
    <t>SEH11</t>
  </si>
  <si>
    <t>Battle Camp Sandstones</t>
  </si>
  <si>
    <t>CYP05</t>
  </si>
  <si>
    <t>Beardy River Hills</t>
  </si>
  <si>
    <t>NET02</t>
  </si>
  <si>
    <t>Bellenden Ker-Lamb</t>
  </si>
  <si>
    <t>WET07</t>
  </si>
  <si>
    <t>Belyando Downs</t>
  </si>
  <si>
    <t>BBN07</t>
  </si>
  <si>
    <t>BEL01</t>
  </si>
  <si>
    <t>Berkeley</t>
  </si>
  <si>
    <t>NOK02</t>
  </si>
  <si>
    <t>Beucazon Hills</t>
  </si>
  <si>
    <t>BBN04</t>
  </si>
  <si>
    <t>Bimbowrie</t>
  </si>
  <si>
    <t>BHC05</t>
  </si>
  <si>
    <t>Binghi Plateau</t>
  </si>
  <si>
    <t>NET14</t>
  </si>
  <si>
    <t>Birdum</t>
  </si>
  <si>
    <t>STU03</t>
  </si>
  <si>
    <t>Bogan-Macquarie</t>
  </si>
  <si>
    <t>DRP04</t>
  </si>
  <si>
    <t>Bogie River Hills</t>
  </si>
  <si>
    <t>BBN02</t>
  </si>
  <si>
    <t>Bondo</t>
  </si>
  <si>
    <t>SEH14</t>
  </si>
  <si>
    <t>ACT, NSW</t>
  </si>
  <si>
    <t>Boomer Range</t>
  </si>
  <si>
    <t>BBS03</t>
  </si>
  <si>
    <t>Boorindal Plains</t>
  </si>
  <si>
    <t>COP01</t>
  </si>
  <si>
    <t>Braemer</t>
  </si>
  <si>
    <t>MDD07</t>
  </si>
  <si>
    <t>Breakaways</t>
  </si>
  <si>
    <t>STP01</t>
  </si>
  <si>
    <t>NT, SA</t>
  </si>
  <si>
    <t>Bridgewater</t>
  </si>
  <si>
    <t>NCP01</t>
  </si>
  <si>
    <t>SA, VIC</t>
  </si>
  <si>
    <t>Brisbane-Barambah Volcanics</t>
  </si>
  <si>
    <t>SEQ05</t>
  </si>
  <si>
    <t>Broken River</t>
  </si>
  <si>
    <t>EIU04</t>
  </si>
  <si>
    <t>Broughton</t>
  </si>
  <si>
    <t>FLB02</t>
  </si>
  <si>
    <t>Buckland Basalts</t>
  </si>
  <si>
    <t>BBS09</t>
  </si>
  <si>
    <t>Bulloo</t>
  </si>
  <si>
    <t>CHC11</t>
  </si>
  <si>
    <t>NSW, QLD</t>
  </si>
  <si>
    <t>Bulloo Dunefields</t>
  </si>
  <si>
    <t>CHC12</t>
  </si>
  <si>
    <t>Bundarra Downs</t>
  </si>
  <si>
    <t>NET01</t>
  </si>
  <si>
    <t>Bungonia</t>
  </si>
  <si>
    <t>SEH07</t>
  </si>
  <si>
    <t>Burnett-Curtis Coastal Lowlands</t>
  </si>
  <si>
    <t>SEQ08</t>
  </si>
  <si>
    <t>Burnett-Curtis Hills and Ranges</t>
  </si>
  <si>
    <t>SEQ01</t>
  </si>
  <si>
    <t>Burragorang</t>
  </si>
  <si>
    <t>SYB09</t>
  </si>
  <si>
    <t>Burringbar-Conondale Ranges</t>
  </si>
  <si>
    <t>SEQ03</t>
  </si>
  <si>
    <t>Byfield</t>
  </si>
  <si>
    <t>CMC04</t>
  </si>
  <si>
    <t>Callide Creek Downs</t>
  </si>
  <si>
    <t>BBS05</t>
  </si>
  <si>
    <t>Camfield</t>
  </si>
  <si>
    <t>OVP04</t>
  </si>
  <si>
    <t>Canbelego Downs</t>
  </si>
  <si>
    <t>COP03</t>
  </si>
  <si>
    <t>Cape Range</t>
  </si>
  <si>
    <t>CAR01</t>
  </si>
  <si>
    <t>Cape River Hills</t>
  </si>
  <si>
    <t>BBN03</t>
  </si>
  <si>
    <t>Cape York-Torres Strait</t>
  </si>
  <si>
    <t>CYP03</t>
  </si>
  <si>
    <t>Cape-Campaspe Plains</t>
  </si>
  <si>
    <t>DEU03</t>
  </si>
  <si>
    <t>Capertee Uplands</t>
  </si>
  <si>
    <t>SEH17</t>
  </si>
  <si>
    <t>Capertee Valley</t>
  </si>
  <si>
    <t>NSS03</t>
  </si>
  <si>
    <t>Carlisle</t>
  </si>
  <si>
    <t>NUL01</t>
  </si>
  <si>
    <t>SA, WA</t>
  </si>
  <si>
    <t>Carnarvon Ranges</t>
  </si>
  <si>
    <t>BBS10</t>
  </si>
  <si>
    <t>Carnegie</t>
  </si>
  <si>
    <t>GAS02</t>
  </si>
  <si>
    <t>Carrai Plateau</t>
  </si>
  <si>
    <t>NNC08</t>
  </si>
  <si>
    <t>Castlereagh-Barwon</t>
  </si>
  <si>
    <t>DRP03</t>
  </si>
  <si>
    <t>Cataract</t>
  </si>
  <si>
    <t>NNC02</t>
  </si>
  <si>
    <t>Central</t>
  </si>
  <si>
    <t>GVD02</t>
  </si>
  <si>
    <t>Central Depression</t>
  </si>
  <si>
    <t>CHC13</t>
  </si>
  <si>
    <t>Central Downs</t>
  </si>
  <si>
    <t>MGD07</t>
  </si>
  <si>
    <t>Central Flinders</t>
  </si>
  <si>
    <t>FLB06</t>
  </si>
  <si>
    <t>Central Highlands</t>
  </si>
  <si>
    <t>TCH01</t>
  </si>
  <si>
    <t>Central Victorian Uplands</t>
  </si>
  <si>
    <t>VIM02</t>
  </si>
  <si>
    <t>Chaelundi</t>
  </si>
  <si>
    <t>NNC04</t>
  </si>
  <si>
    <t>Chichester</t>
  </si>
  <si>
    <t>PIL01</t>
  </si>
  <si>
    <t>Christmas Island</t>
  </si>
  <si>
    <t>ITI01</t>
  </si>
  <si>
    <t>Claraville Plains</t>
  </si>
  <si>
    <t>GUP05</t>
  </si>
  <si>
    <t>Clarence Lowlands</t>
  </si>
  <si>
    <t>SEQ13</t>
  </si>
  <si>
    <t>Clarence Sandstones</t>
  </si>
  <si>
    <t>SEQ12</t>
  </si>
  <si>
    <t>Clarke-Connors Ranges</t>
  </si>
  <si>
    <t>CMC03</t>
  </si>
  <si>
    <t>Claude River Downs</t>
  </si>
  <si>
    <t>BBS01</t>
  </si>
  <si>
    <t>Coastal Plains</t>
  </si>
  <si>
    <t>CYP09</t>
  </si>
  <si>
    <t>Cobourg</t>
  </si>
  <si>
    <t>TIW02</t>
  </si>
  <si>
    <t>Cocos Islands</t>
  </si>
  <si>
    <t>ITI02</t>
  </si>
  <si>
    <t>Coen-Yambo Inlier</t>
  </si>
  <si>
    <t>CYP01</t>
  </si>
  <si>
    <t>Coffs Coast and Escarpment</t>
  </si>
  <si>
    <t>NNC06</t>
  </si>
  <si>
    <t>Comboyne Plateau</t>
  </si>
  <si>
    <t>NNC11</t>
  </si>
  <si>
    <t>Commonwealth Hill</t>
  </si>
  <si>
    <t>GAW08</t>
  </si>
  <si>
    <t>Coongie</t>
  </si>
  <si>
    <t>CHC06</t>
  </si>
  <si>
    <t>QLD, SA</t>
  </si>
  <si>
    <t>Cooper-Diamantina Plains</t>
  </si>
  <si>
    <t>CHC05</t>
  </si>
  <si>
    <t>COS01</t>
  </si>
  <si>
    <t>Core Ranges</t>
  </si>
  <si>
    <t>CHC10</t>
  </si>
  <si>
    <t>Crookwell</t>
  </si>
  <si>
    <t>SEH09</t>
  </si>
  <si>
    <t>Culgoa-Bokhara</t>
  </si>
  <si>
    <t>DRP01</t>
  </si>
  <si>
    <t>Cumberland</t>
  </si>
  <si>
    <t>SYB08</t>
  </si>
  <si>
    <t>Curnamona</t>
  </si>
  <si>
    <t>BHC06</t>
  </si>
  <si>
    <t>Cuttaburra-Paroo</t>
  </si>
  <si>
    <t>MUL07</t>
  </si>
  <si>
    <t>Daintree-Bloomfield</t>
  </si>
  <si>
    <t>WET09</t>
  </si>
  <si>
    <t>Dalmorton</t>
  </si>
  <si>
    <t>NNC03</t>
  </si>
  <si>
    <t>DAB01</t>
  </si>
  <si>
    <t>Dandaragan Plateau</t>
  </si>
  <si>
    <t>SWA01</t>
  </si>
  <si>
    <t>Darling Depression</t>
  </si>
  <si>
    <t>MDD06</t>
  </si>
  <si>
    <t>DAC01</t>
  </si>
  <si>
    <t>Davenport</t>
  </si>
  <si>
    <t>DMR02</t>
  </si>
  <si>
    <t>Dawson River Downs</t>
  </si>
  <si>
    <t>BBS07</t>
  </si>
  <si>
    <t>Debella</t>
  </si>
  <si>
    <t>CMC06</t>
  </si>
  <si>
    <t>Deepwater Downs</t>
  </si>
  <si>
    <t>NET06</t>
  </si>
  <si>
    <t>Diamantina-Eyre</t>
  </si>
  <si>
    <t>CHC04</t>
  </si>
  <si>
    <t>Dieri</t>
  </si>
  <si>
    <t>SSD03</t>
  </si>
  <si>
    <t>NT, QLD, SA</t>
  </si>
  <si>
    <t>Donors Plateau</t>
  </si>
  <si>
    <t>GUP08</t>
  </si>
  <si>
    <t>Doomadgee Plains</t>
  </si>
  <si>
    <t>GUP07</t>
  </si>
  <si>
    <t>Dulacca Downs</t>
  </si>
  <si>
    <t>BBS14</t>
  </si>
  <si>
    <t>Dulcie</t>
  </si>
  <si>
    <t>BRT04</t>
  </si>
  <si>
    <t>Dundas Tablelands</t>
  </si>
  <si>
    <t>VIM04</t>
  </si>
  <si>
    <t>Dune Field</t>
  </si>
  <si>
    <t>GID02</t>
  </si>
  <si>
    <t>East Gippsland Lowlands</t>
  </si>
  <si>
    <t>SEC01</t>
  </si>
  <si>
    <t>NSW, VIC</t>
  </si>
  <si>
    <t>Eastern Darling Downs</t>
  </si>
  <si>
    <t>BBS17</t>
  </si>
  <si>
    <t>Eastern Goldfield</t>
  </si>
  <si>
    <t>COO03</t>
  </si>
  <si>
    <t>Eastern Mallee</t>
  </si>
  <si>
    <t>MAL01</t>
  </si>
  <si>
    <t>Eastern Mulga Plains</t>
  </si>
  <si>
    <t>MUL02</t>
  </si>
  <si>
    <t>Eastern Murchison</t>
  </si>
  <si>
    <t>MUR01</t>
  </si>
  <si>
    <t>Eastern Nandewars</t>
  </si>
  <si>
    <t>NET16</t>
  </si>
  <si>
    <t>Ebor Basalts</t>
  </si>
  <si>
    <t>NET08</t>
  </si>
  <si>
    <t>Edel</t>
  </si>
  <si>
    <t>YAL01</t>
  </si>
  <si>
    <t>Ehrenberg</t>
  </si>
  <si>
    <t>GSD03</t>
  </si>
  <si>
    <t>Ellerston</t>
  </si>
  <si>
    <t>NNC15</t>
  </si>
  <si>
    <t>Ettrema</t>
  </si>
  <si>
    <t>SYB13</t>
  </si>
  <si>
    <t>Everard Block</t>
  </si>
  <si>
    <t>CER03</t>
  </si>
  <si>
    <t>Eyre Hills</t>
  </si>
  <si>
    <t>EYB03</t>
  </si>
  <si>
    <t>Eyre Mallee</t>
  </si>
  <si>
    <t>EYB05</t>
  </si>
  <si>
    <t>Finke River</t>
  </si>
  <si>
    <t>FIN02</t>
  </si>
  <si>
    <t>Fitzgerald</t>
  </si>
  <si>
    <t>ESP01</t>
  </si>
  <si>
    <t>Fitzroy Trough</t>
  </si>
  <si>
    <t>DAL01</t>
  </si>
  <si>
    <t>Fleurieu</t>
  </si>
  <si>
    <t>KAN02</t>
  </si>
  <si>
    <t>Flinders</t>
  </si>
  <si>
    <t>FUR02</t>
  </si>
  <si>
    <t>Fortescue</t>
  </si>
  <si>
    <t>PIL02</t>
  </si>
  <si>
    <t>Gawler Lakes</t>
  </si>
  <si>
    <t>GAW03</t>
  </si>
  <si>
    <t>Gawler Volcanics</t>
  </si>
  <si>
    <t>GAW02</t>
  </si>
  <si>
    <t>Georgetown-Croydon</t>
  </si>
  <si>
    <t>EIU01</t>
  </si>
  <si>
    <t>Georgina Limestone</t>
  </si>
  <si>
    <t>MGD03</t>
  </si>
  <si>
    <t>Geraldton Hills</t>
  </si>
  <si>
    <t>GES01</t>
  </si>
  <si>
    <t>Gilberton Plateau</t>
  </si>
  <si>
    <t>GUP09</t>
  </si>
  <si>
    <t>Gippsland Plain</t>
  </si>
  <si>
    <t>SCP01</t>
  </si>
  <si>
    <t>Glenelg Plain</t>
  </si>
  <si>
    <t>NCP02</t>
  </si>
  <si>
    <t>Glenn Innes-Guyra Basalts</t>
  </si>
  <si>
    <t>NET07</t>
  </si>
  <si>
    <t>Goldfields</t>
  </si>
  <si>
    <t>VIM01</t>
  </si>
  <si>
    <t>Goneaway Tablelands</t>
  </si>
  <si>
    <t>CHC03</t>
  </si>
  <si>
    <t>Great Darling Anabranch</t>
  </si>
  <si>
    <t>DRP08</t>
  </si>
  <si>
    <t>Great Sandy</t>
  </si>
  <si>
    <t>SEQ09</t>
  </si>
  <si>
    <t>Greater Grampians</t>
  </si>
  <si>
    <t>VIM03</t>
  </si>
  <si>
    <t>Gregory</t>
  </si>
  <si>
    <t>OVP03</t>
  </si>
  <si>
    <t>Groote</t>
  </si>
  <si>
    <t>ARC04</t>
  </si>
  <si>
    <t>Guy Fawkes</t>
  </si>
  <si>
    <t>NNC19</t>
  </si>
  <si>
    <t>Gympie Block</t>
  </si>
  <si>
    <t>SEQ07</t>
  </si>
  <si>
    <t>Hamersley</t>
  </si>
  <si>
    <t>PIL03</t>
  </si>
  <si>
    <t>HAM01</t>
  </si>
  <si>
    <t>Hart</t>
  </si>
  <si>
    <t>CEK02</t>
  </si>
  <si>
    <t>Hartz Range</t>
  </si>
  <si>
    <t>MAC03</t>
  </si>
  <si>
    <t>Heard and McDonald Islands</t>
  </si>
  <si>
    <t>SAI01</t>
  </si>
  <si>
    <t>Henbury</t>
  </si>
  <si>
    <t>FIN01</t>
  </si>
  <si>
    <t>Herbert</t>
  </si>
  <si>
    <t>WET01</t>
  </si>
  <si>
    <t>Herberton-Wairuna</t>
  </si>
  <si>
    <t>EIU06</t>
  </si>
  <si>
    <t>Hermit Creek</t>
  </si>
  <si>
    <t>VIB02</t>
  </si>
  <si>
    <t>Highlands-Northern Fall</t>
  </si>
  <si>
    <t>SEH02</t>
  </si>
  <si>
    <t>Highlands-Southern Fall</t>
  </si>
  <si>
    <t>SEH01</t>
  </si>
  <si>
    <t>Hill End</t>
  </si>
  <si>
    <t>SEH13</t>
  </si>
  <si>
    <t>Hodgkinson Basin</t>
  </si>
  <si>
    <t>EIU03</t>
  </si>
  <si>
    <t>Holroyd Plain-Red Plateau</t>
  </si>
  <si>
    <t>GUP06</t>
  </si>
  <si>
    <t>Hunter</t>
  </si>
  <si>
    <t>SYB02</t>
  </si>
  <si>
    <t>Illawarra</t>
  </si>
  <si>
    <t>SYB12</t>
  </si>
  <si>
    <t>Inglewood Sandstones</t>
  </si>
  <si>
    <t>BBS18</t>
  </si>
  <si>
    <t>Inland Slopes</t>
  </si>
  <si>
    <t>NSS01</t>
  </si>
  <si>
    <t>Innisfail</t>
  </si>
  <si>
    <t>WET03</t>
  </si>
  <si>
    <t>Inverell Basalts</t>
  </si>
  <si>
    <t>NAN02</t>
  </si>
  <si>
    <t>Isaac-Comet Downs</t>
  </si>
  <si>
    <t>BBN11</t>
  </si>
  <si>
    <t>Jardine-Pascoe Sandstones</t>
  </si>
  <si>
    <t>CYP04</t>
  </si>
  <si>
    <t>Jericho</t>
  </si>
  <si>
    <t>DEU04</t>
  </si>
  <si>
    <t>Jervis</t>
  </si>
  <si>
    <t>SYB14</t>
  </si>
  <si>
    <t>JBT, NSW</t>
  </si>
  <si>
    <t>Kanangra</t>
  </si>
  <si>
    <t>SEH08</t>
  </si>
  <si>
    <t>Kangaroo Island</t>
  </si>
  <si>
    <t>KAN01</t>
  </si>
  <si>
    <t>Kaputar</t>
  </si>
  <si>
    <t>NAN03</t>
  </si>
  <si>
    <t>Karuah Manning</t>
  </si>
  <si>
    <t>NNC17</t>
  </si>
  <si>
    <t>Karumba Plains</t>
  </si>
  <si>
    <t>GUP01</t>
  </si>
  <si>
    <t>Katanning</t>
  </si>
  <si>
    <t>AVW02</t>
  </si>
  <si>
    <t>Keep</t>
  </si>
  <si>
    <t>VIB01</t>
  </si>
  <si>
    <t>NT, WA</t>
  </si>
  <si>
    <t>Kerrabee</t>
  </si>
  <si>
    <t>SYB01</t>
  </si>
  <si>
    <t>Kerribree Basin</t>
  </si>
  <si>
    <t>MUL13</t>
  </si>
  <si>
    <t>Kidston</t>
  </si>
  <si>
    <t>EIU02</t>
  </si>
  <si>
    <t>KIN01</t>
  </si>
  <si>
    <t>Kingoonya</t>
  </si>
  <si>
    <t>GAW05</t>
  </si>
  <si>
    <t>Kintore</t>
  </si>
  <si>
    <t>GVD04</t>
  </si>
  <si>
    <t>Kirrama-Hinchinbrook</t>
  </si>
  <si>
    <t>WET06</t>
  </si>
  <si>
    <t>Kybeyan-Gourock</t>
  </si>
  <si>
    <t>SEH15</t>
  </si>
  <si>
    <t>Kynuna Plateau</t>
  </si>
  <si>
    <t>MGD05</t>
  </si>
  <si>
    <t>Lachlan</t>
  </si>
  <si>
    <t>RIV01</t>
  </si>
  <si>
    <t>Lachlan Plains</t>
  </si>
  <si>
    <t>COP05</t>
  </si>
  <si>
    <t>Lake Bennett</t>
  </si>
  <si>
    <t>GSD05</t>
  </si>
  <si>
    <t>Lake Lewis</t>
  </si>
  <si>
    <t>GSD06</t>
  </si>
  <si>
    <t>Lake Pure</t>
  </si>
  <si>
    <t>CHC07</t>
  </si>
  <si>
    <t>Langlo Plains</t>
  </si>
  <si>
    <t>MUL06</t>
  </si>
  <si>
    <t>Lateritic Plain</t>
  </si>
  <si>
    <t>GID01</t>
  </si>
  <si>
    <t>Laura Lowlands</t>
  </si>
  <si>
    <t>CYP06</t>
  </si>
  <si>
    <t>Lesueur Sandplain</t>
  </si>
  <si>
    <t>GES02</t>
  </si>
  <si>
    <t>Limmen</t>
  </si>
  <si>
    <t>GUC01</t>
  </si>
  <si>
    <t>Liverpool Plains</t>
  </si>
  <si>
    <t>BBS25</t>
  </si>
  <si>
    <t>Liverpool Range</t>
  </si>
  <si>
    <t>BBS26</t>
  </si>
  <si>
    <t>Lord Howe Island</t>
  </si>
  <si>
    <t>PSI01</t>
  </si>
  <si>
    <t>Louth Plains</t>
  </si>
  <si>
    <t>DRP05</t>
  </si>
  <si>
    <t>Lowan Mallee</t>
  </si>
  <si>
    <t>MDD04</t>
  </si>
  <si>
    <t>Lower Slopes</t>
  </si>
  <si>
    <t>NSS02</t>
  </si>
  <si>
    <t>Lucindale</t>
  </si>
  <si>
    <t>NCP03</t>
  </si>
  <si>
    <t>Macalister</t>
  </si>
  <si>
    <t>WET08</t>
  </si>
  <si>
    <t>Mackay</t>
  </si>
  <si>
    <t>GSD02</t>
  </si>
  <si>
    <t>Macleay Gorges</t>
  </si>
  <si>
    <t>NNC09</t>
  </si>
  <si>
    <t>Macleay Hastings</t>
  </si>
  <si>
    <t>NNC07</t>
  </si>
  <si>
    <t>Macquarie Island</t>
  </si>
  <si>
    <t>SAI02</t>
  </si>
  <si>
    <t>Macumba</t>
  </si>
  <si>
    <t>STP05</t>
  </si>
  <si>
    <t>Mainoru</t>
  </si>
  <si>
    <t>ARP02</t>
  </si>
  <si>
    <t>Manifold</t>
  </si>
  <si>
    <t>CMC05</t>
  </si>
  <si>
    <t>Maningrida</t>
  </si>
  <si>
    <t>ARC02</t>
  </si>
  <si>
    <t>Mann-Musgrave Block</t>
  </si>
  <si>
    <t>CER01</t>
  </si>
  <si>
    <t>NT, SA, WA</t>
  </si>
  <si>
    <t>Maralinga</t>
  </si>
  <si>
    <t>GVD03</t>
  </si>
  <si>
    <t>Mardabilla</t>
  </si>
  <si>
    <t>COO01</t>
  </si>
  <si>
    <t>Marlborough Plains</t>
  </si>
  <si>
    <t>BBN14</t>
  </si>
  <si>
    <t>McArthur</t>
  </si>
  <si>
    <t>GFU01</t>
  </si>
  <si>
    <t>McDonnell</t>
  </si>
  <si>
    <t>MAC01</t>
  </si>
  <si>
    <t>McLarty</t>
  </si>
  <si>
    <t>GSD01</t>
  </si>
  <si>
    <t>Menindee</t>
  </si>
  <si>
    <t>DRP07</t>
  </si>
  <si>
    <t>Merredin</t>
  </si>
  <si>
    <t>AVW01</t>
  </si>
  <si>
    <t>Mitchell</t>
  </si>
  <si>
    <t>NOK01</t>
  </si>
  <si>
    <t>Mitchell-Gilbert Fans</t>
  </si>
  <si>
    <t>GUP04</t>
  </si>
  <si>
    <t>Monaro</t>
  </si>
  <si>
    <t>SEH16</t>
  </si>
  <si>
    <t>ACT, NSW, VIC</t>
  </si>
  <si>
    <t>Moonie-Barwon Interfluve</t>
  </si>
  <si>
    <t>BBS20</t>
  </si>
  <si>
    <t>Moonie-Commoron Floodout</t>
  </si>
  <si>
    <t>BBS19</t>
  </si>
  <si>
    <t>Mootwingee Downs</t>
  </si>
  <si>
    <t>BHC02</t>
  </si>
  <si>
    <t>Moredun Volcanics</t>
  </si>
  <si>
    <t>NET09</t>
  </si>
  <si>
    <t>Moreton Basin</t>
  </si>
  <si>
    <t>SEQ02</t>
  </si>
  <si>
    <t>Moss Vale</t>
  </si>
  <si>
    <t>SYB11</t>
  </si>
  <si>
    <t>Mount Chapple</t>
  </si>
  <si>
    <t>BRT03</t>
  </si>
  <si>
    <t>Mount Eliza</t>
  </si>
  <si>
    <t>CEK03</t>
  </si>
  <si>
    <t>Mount Gambier</t>
  </si>
  <si>
    <t>SVP02</t>
  </si>
  <si>
    <t>Mount Isa</t>
  </si>
  <si>
    <t>MII03</t>
  </si>
  <si>
    <t>Mount Lofty Ranges</t>
  </si>
  <si>
    <t>FLB01</t>
  </si>
  <si>
    <t>Mount Morgan Ranges</t>
  </si>
  <si>
    <t>BBS04</t>
  </si>
  <si>
    <t>Mummel Escarpment</t>
  </si>
  <si>
    <t>NNC12</t>
  </si>
  <si>
    <t>Murgenella</t>
  </si>
  <si>
    <t>ARC01</t>
  </si>
  <si>
    <t>Murnpeowie</t>
  </si>
  <si>
    <t>STP03</t>
  </si>
  <si>
    <t>Murray Fans</t>
  </si>
  <si>
    <t>RIV03</t>
  </si>
  <si>
    <t>Murray Lakes and Coorong</t>
  </si>
  <si>
    <t>MDD03</t>
  </si>
  <si>
    <t>Murray Mallee</t>
  </si>
  <si>
    <t>MDD02</t>
  </si>
  <si>
    <t>NSW, SA, VIC</t>
  </si>
  <si>
    <t>Murray Scroll Belt</t>
  </si>
  <si>
    <t>RIV06</t>
  </si>
  <si>
    <t>Murrumbateman</t>
  </si>
  <si>
    <t>SEH06</t>
  </si>
  <si>
    <t>Murrumbidgee</t>
  </si>
  <si>
    <t>RIV02</t>
  </si>
  <si>
    <t>Myall Plains</t>
  </si>
  <si>
    <t>GAW01</t>
  </si>
  <si>
    <t>Nandewar Northern Complex</t>
  </si>
  <si>
    <t>NAN01</t>
  </si>
  <si>
    <t>Narrandool</t>
  </si>
  <si>
    <t>BBS28</t>
  </si>
  <si>
    <t>Nebine Plains</t>
  </si>
  <si>
    <t>MUL03</t>
  </si>
  <si>
    <t>Nebo-Connors Ranges</t>
  </si>
  <si>
    <t>BBN12</t>
  </si>
  <si>
    <t>Newcastle</t>
  </si>
  <si>
    <t>STU02</t>
  </si>
  <si>
    <t>Nhulunbuy</t>
  </si>
  <si>
    <t>ARC03</t>
  </si>
  <si>
    <t>Nicholson</t>
  </si>
  <si>
    <t>GFU02</t>
  </si>
  <si>
    <t>Nightcap</t>
  </si>
  <si>
    <t>NET18</t>
  </si>
  <si>
    <t>Noccundra Slopes</t>
  </si>
  <si>
    <t>CHC08</t>
  </si>
  <si>
    <t>Norfolk Island</t>
  </si>
  <si>
    <t>PSI02</t>
  </si>
  <si>
    <t>North Eastern Plains</t>
  </si>
  <si>
    <t>MUL04</t>
  </si>
  <si>
    <t>Northeast Forest Lands</t>
  </si>
  <si>
    <t>NET11</t>
  </si>
  <si>
    <t>Northern Basalts</t>
  </si>
  <si>
    <t>BBS21</t>
  </si>
  <si>
    <t>Northern Bowen Basin</t>
  </si>
  <si>
    <t>BBN06</t>
  </si>
  <si>
    <t>Northern Downs</t>
  </si>
  <si>
    <t>MGD06</t>
  </si>
  <si>
    <t>Northern Flinders</t>
  </si>
  <si>
    <t>FLB05</t>
  </si>
  <si>
    <t>Northern Holroyd Plain</t>
  </si>
  <si>
    <t>CYP08</t>
  </si>
  <si>
    <t>Northern Jarrah Forest</t>
  </si>
  <si>
    <t>JAF01</t>
  </si>
  <si>
    <t>Northern Midlands</t>
  </si>
  <si>
    <t>TNM01</t>
  </si>
  <si>
    <t>Northern Outwash</t>
  </si>
  <si>
    <t>BBS22</t>
  </si>
  <si>
    <t>Northern Slopes</t>
  </si>
  <si>
    <t>TNS01</t>
  </si>
  <si>
    <t>Northern Uplands</t>
  </si>
  <si>
    <t>MUL09</t>
  </si>
  <si>
    <t>Nullarbor Plain</t>
  </si>
  <si>
    <t>NUL02</t>
  </si>
  <si>
    <t>Nymagee</t>
  </si>
  <si>
    <t>COP04</t>
  </si>
  <si>
    <t>Oberon</t>
  </si>
  <si>
    <t>SEH10</t>
  </si>
  <si>
    <t>Olary Spur</t>
  </si>
  <si>
    <t>FLB03</t>
  </si>
  <si>
    <t>Oodnadatta</t>
  </si>
  <si>
    <t>STP02</t>
  </si>
  <si>
    <t>Orange</t>
  </si>
  <si>
    <t>SEH12</t>
  </si>
  <si>
    <t>Otway Plain</t>
  </si>
  <si>
    <t>SCP02</t>
  </si>
  <si>
    <t>Otway Ranges</t>
  </si>
  <si>
    <t>SEH03</t>
  </si>
  <si>
    <t>Paluma-Seaview</t>
  </si>
  <si>
    <t>WET05</t>
  </si>
  <si>
    <t>Paroo Overflow</t>
  </si>
  <si>
    <t>MUL15</t>
  </si>
  <si>
    <t>Paroo-Darling Sands</t>
  </si>
  <si>
    <t>MUL16</t>
  </si>
  <si>
    <t>Parson</t>
  </si>
  <si>
    <t>CEA02</t>
  </si>
  <si>
    <t>Peake-Dennison Inlier</t>
  </si>
  <si>
    <t>STP04</t>
  </si>
  <si>
    <t>Pedirka</t>
  </si>
  <si>
    <t>FIN04</t>
  </si>
  <si>
    <t>Peel</t>
  </si>
  <si>
    <t>NAN04</t>
  </si>
  <si>
    <t>Pellews</t>
  </si>
  <si>
    <t>GUC02</t>
  </si>
  <si>
    <t>Pentecost</t>
  </si>
  <si>
    <t>CEK01</t>
  </si>
  <si>
    <t>Perth</t>
  </si>
  <si>
    <t>SWA02</t>
  </si>
  <si>
    <t>Pilliga</t>
  </si>
  <si>
    <t>BBS24</t>
  </si>
  <si>
    <t>Pilliga Outwash</t>
  </si>
  <si>
    <t>BBS23</t>
  </si>
  <si>
    <t>Pindanland</t>
  </si>
  <si>
    <t>DAL02</t>
  </si>
  <si>
    <t>PCK01</t>
  </si>
  <si>
    <t>Pittwater</t>
  </si>
  <si>
    <t>SYB07</t>
  </si>
  <si>
    <t>Pooncarie-Darling</t>
  </si>
  <si>
    <t>DRP09</t>
  </si>
  <si>
    <t>Prairie-Torrens Creeks Alluvials</t>
  </si>
  <si>
    <t>DEU01</t>
  </si>
  <si>
    <t>Proserpine-Sarina Lowlands</t>
  </si>
  <si>
    <t>CMC02</t>
  </si>
  <si>
    <t>Purnululu</t>
  </si>
  <si>
    <t>OVP01</t>
  </si>
  <si>
    <t>Recherche</t>
  </si>
  <si>
    <t>ESP02</t>
  </si>
  <si>
    <t>Renehan</t>
  </si>
  <si>
    <t>STU01</t>
  </si>
  <si>
    <t>Robinvale Plains</t>
  </si>
  <si>
    <t>RIV05</t>
  </si>
  <si>
    <t>Rocky River Gorge</t>
  </si>
  <si>
    <t>NNC18</t>
  </si>
  <si>
    <t>Roebourne</t>
  </si>
  <si>
    <t>PIL04</t>
  </si>
  <si>
    <t>Round Mountain</t>
  </si>
  <si>
    <t>NET19</t>
  </si>
  <si>
    <t>Roxby</t>
  </si>
  <si>
    <t>GAW07</t>
  </si>
  <si>
    <t>Rudall</t>
  </si>
  <si>
    <t>LSD01</t>
  </si>
  <si>
    <t>Sandover</t>
  </si>
  <si>
    <t>TAN03</t>
  </si>
  <si>
    <t>Scenic Rim</t>
  </si>
  <si>
    <t>SEQ10</t>
  </si>
  <si>
    <t>Scopes Range</t>
  </si>
  <si>
    <t>BHC03</t>
  </si>
  <si>
    <t>Severn River Volcanics</t>
  </si>
  <si>
    <t>NET10</t>
  </si>
  <si>
    <t>Shield</t>
  </si>
  <si>
    <t>GVD01</t>
  </si>
  <si>
    <t>Simpson Desert</t>
  </si>
  <si>
    <t>SSD02</t>
  </si>
  <si>
    <t>Snowy Mountains</t>
  </si>
  <si>
    <t>AUA01</t>
  </si>
  <si>
    <t>South Burnett</t>
  </si>
  <si>
    <t>SEQ06</t>
  </si>
  <si>
    <t>South Drummond Basin</t>
  </si>
  <si>
    <t>BBN13</t>
  </si>
  <si>
    <t>South East</t>
  </si>
  <si>
    <t>TSE01</t>
  </si>
  <si>
    <t>South East Coastal Ranges</t>
  </si>
  <si>
    <t>SEC02</t>
  </si>
  <si>
    <t>South Kimberley Interzone</t>
  </si>
  <si>
    <t>OVP02</t>
  </si>
  <si>
    <t>South Olary Plain</t>
  </si>
  <si>
    <t>MDD01</t>
  </si>
  <si>
    <t>Southern Cross</t>
  </si>
  <si>
    <t>COO02</t>
  </si>
  <si>
    <t>Southern Downs</t>
  </si>
  <si>
    <t>BBS12</t>
  </si>
  <si>
    <t>Southern Flinders</t>
  </si>
  <si>
    <t>FLB04</t>
  </si>
  <si>
    <t>Southern Great Barrier Reef</t>
  </si>
  <si>
    <t>SEQ14</t>
  </si>
  <si>
    <t>Southern Jarrah Forest</t>
  </si>
  <si>
    <t>JAF02</t>
  </si>
  <si>
    <t>Southern Ranges</t>
  </si>
  <si>
    <t>TSR01</t>
  </si>
  <si>
    <t>Southern Wooded Downs</t>
  </si>
  <si>
    <t>MGD08</t>
  </si>
  <si>
    <t>Southern Yorke</t>
  </si>
  <si>
    <t>EYB01</t>
  </si>
  <si>
    <t>Southwestern Downs</t>
  </si>
  <si>
    <t>MGD04</t>
  </si>
  <si>
    <t>Southwestern Plateaus and Floodouts</t>
  </si>
  <si>
    <t>MII01</t>
  </si>
  <si>
    <t>St Vincent</t>
  </si>
  <si>
    <t>EYB02</t>
  </si>
  <si>
    <t>Stanthorpe Plateau</t>
  </si>
  <si>
    <t>NET15</t>
  </si>
  <si>
    <t>Starke Coastal Lowlands</t>
  </si>
  <si>
    <t>CYP02</t>
  </si>
  <si>
    <t>Strzelecki Desert</t>
  </si>
  <si>
    <t>SSD05</t>
  </si>
  <si>
    <t>NSW, QLD, SA</t>
  </si>
  <si>
    <t>Strzelecki Ranges</t>
  </si>
  <si>
    <t>SEH04</t>
  </si>
  <si>
    <t>Sturt Stony Desert</t>
  </si>
  <si>
    <t>CHC02</t>
  </si>
  <si>
    <t>Sunshine Coast-Gold Coast Lowlands</t>
  </si>
  <si>
    <t>SEQ04</t>
  </si>
  <si>
    <t>Sydney Cataract</t>
  </si>
  <si>
    <t>SYB10</t>
  </si>
  <si>
    <t>Sylvester</t>
  </si>
  <si>
    <t>MGD01</t>
  </si>
  <si>
    <t>Talbragar Valley</t>
  </si>
  <si>
    <t>BBS27</t>
  </si>
  <si>
    <t>Talia</t>
  </si>
  <si>
    <t>EYB04</t>
  </si>
  <si>
    <t>Tallaringa</t>
  </si>
  <si>
    <t>GVD05</t>
  </si>
  <si>
    <t>Tallering</t>
  </si>
  <si>
    <t>YAL02</t>
  </si>
  <si>
    <t>Tanami Desert</t>
  </si>
  <si>
    <t>TAN01</t>
  </si>
  <si>
    <t>Tara Downs</t>
  </si>
  <si>
    <t>BBS16</t>
  </si>
  <si>
    <t>Taroom Downs</t>
  </si>
  <si>
    <t>BBS11</t>
  </si>
  <si>
    <t>Tenterfield Plateau</t>
  </si>
  <si>
    <t>NET12</t>
  </si>
  <si>
    <t>Thorntonia</t>
  </si>
  <si>
    <t>MII02</t>
  </si>
  <si>
    <t>Tieyon</t>
  </si>
  <si>
    <t>FIN03</t>
  </si>
  <si>
    <t>Timor Sea Coral Islands</t>
  </si>
  <si>
    <t>ITI03</t>
  </si>
  <si>
    <t>Tingha Plateau</t>
  </si>
  <si>
    <t>NET17</t>
  </si>
  <si>
    <t>Tintinara</t>
  </si>
  <si>
    <t>NCP04</t>
  </si>
  <si>
    <t>Tiwi</t>
  </si>
  <si>
    <t>TIW01</t>
  </si>
  <si>
    <t>Toko Plains</t>
  </si>
  <si>
    <t>CHC01</t>
  </si>
  <si>
    <t>Tomalla</t>
  </si>
  <si>
    <t>NNC14</t>
  </si>
  <si>
    <t>Torrens</t>
  </si>
  <si>
    <t>GAW06</t>
  </si>
  <si>
    <t>Townsville Plains</t>
  </si>
  <si>
    <t>BBN01</t>
  </si>
  <si>
    <t>Trainor</t>
  </si>
  <si>
    <t>LSD02</t>
  </si>
  <si>
    <t>Tully</t>
  </si>
  <si>
    <t>WET02</t>
  </si>
  <si>
    <t>Undara-Toomba Basalts</t>
  </si>
  <si>
    <t>EIU05</t>
  </si>
  <si>
    <t>Upper Belyando Floodout</t>
  </si>
  <si>
    <t>BBN08</t>
  </si>
  <si>
    <t>Upper Hunter</t>
  </si>
  <si>
    <t>NNC16</t>
  </si>
  <si>
    <t>Upper Manning</t>
  </si>
  <si>
    <t>NNC10</t>
  </si>
  <si>
    <t>Urisino Sandplains</t>
  </si>
  <si>
    <t>MUL11</t>
  </si>
  <si>
    <t>Victorian Alps</t>
  </si>
  <si>
    <t>AUA02</t>
  </si>
  <si>
    <t>Victorian Riverina</t>
  </si>
  <si>
    <t>RIV04</t>
  </si>
  <si>
    <t>Victorian Volcanic Plain</t>
  </si>
  <si>
    <t>SVP01</t>
  </si>
  <si>
    <t>Walcha Plateau</t>
  </si>
  <si>
    <t>NET03</t>
  </si>
  <si>
    <t>Warrambool-Moonie</t>
  </si>
  <si>
    <t>DRP02</t>
  </si>
  <si>
    <t>Warrego Plains</t>
  </si>
  <si>
    <t>MUL05</t>
  </si>
  <si>
    <t>Warrego Sands</t>
  </si>
  <si>
    <t>MUL12</t>
  </si>
  <si>
    <t>WAR01</t>
  </si>
  <si>
    <t>Warriner</t>
  </si>
  <si>
    <t>SSD04</t>
  </si>
  <si>
    <t>Warrnambool Plain</t>
  </si>
  <si>
    <t>SCP03</t>
  </si>
  <si>
    <t>Washpool</t>
  </si>
  <si>
    <t>NNC01</t>
  </si>
  <si>
    <t>Watarrka</t>
  </si>
  <si>
    <t>MAC02</t>
  </si>
  <si>
    <t>Watarru</t>
  </si>
  <si>
    <t>CER02</t>
  </si>
  <si>
    <t>Weipa Plateau</t>
  </si>
  <si>
    <t>CYP07</t>
  </si>
  <si>
    <t>Wellesley Islands</t>
  </si>
  <si>
    <t>GUP10</t>
  </si>
  <si>
    <t>Weribone High</t>
  </si>
  <si>
    <t>BBS15</t>
  </si>
  <si>
    <t>Wessels</t>
  </si>
  <si>
    <t>ARC05</t>
  </si>
  <si>
    <t>West</t>
  </si>
  <si>
    <t>TWE01</t>
  </si>
  <si>
    <t>West Balonne Plains</t>
  </si>
  <si>
    <t>MUL01</t>
  </si>
  <si>
    <t>West Bulloo</t>
  </si>
  <si>
    <t>MUL10</t>
  </si>
  <si>
    <t>West Warrego</t>
  </si>
  <si>
    <t>MUL08</t>
  </si>
  <si>
    <t>Western Mallee</t>
  </si>
  <si>
    <t>MAL02</t>
  </si>
  <si>
    <t>Western Murchison</t>
  </si>
  <si>
    <t>MUR02</t>
  </si>
  <si>
    <t>White Cliffs Plateau</t>
  </si>
  <si>
    <t>MUL14</t>
  </si>
  <si>
    <t>Whitsunday</t>
  </si>
  <si>
    <t>CMC01</t>
  </si>
  <si>
    <t>Wilcannia Plains</t>
  </si>
  <si>
    <t>DRP06</t>
  </si>
  <si>
    <t>Wilsons Promontory</t>
  </si>
  <si>
    <t>FUR01</t>
  </si>
  <si>
    <t>Wilton</t>
  </si>
  <si>
    <t>CEA01</t>
  </si>
  <si>
    <t>Wimmera</t>
  </si>
  <si>
    <t>MDD05</t>
  </si>
  <si>
    <t>Witjira</t>
  </si>
  <si>
    <t>STP06</t>
  </si>
  <si>
    <t>Wollemi</t>
  </si>
  <si>
    <t>SYB04</t>
  </si>
  <si>
    <t>Wongwibinda Plateau</t>
  </si>
  <si>
    <t>NET05</t>
  </si>
  <si>
    <t>Woodenbong</t>
  </si>
  <si>
    <t>SEQ11</t>
  </si>
  <si>
    <t>Woondoola Plains</t>
  </si>
  <si>
    <t>GUP03</t>
  </si>
  <si>
    <t>Woorabinda</t>
  </si>
  <si>
    <t>BBS02</t>
  </si>
  <si>
    <t>Wooramel</t>
  </si>
  <si>
    <t>CAR02</t>
  </si>
  <si>
    <t>Wyarra Hills</t>
  </si>
  <si>
    <t>BBN05</t>
  </si>
  <si>
    <t>Wycliffe</t>
  </si>
  <si>
    <t>TAN02</t>
  </si>
  <si>
    <t>Wyong</t>
  </si>
  <si>
    <t>SYB06</t>
  </si>
  <si>
    <t>Yalata</t>
  </si>
  <si>
    <t>NUL03</t>
  </si>
  <si>
    <t>Yarrowyck-Kentucky Downs</t>
  </si>
  <si>
    <t>NET13</t>
  </si>
  <si>
    <t>Yellabinna</t>
  </si>
  <si>
    <t>GVD06</t>
  </si>
  <si>
    <t>Yengo</t>
  </si>
  <si>
    <t>SYB05</t>
  </si>
  <si>
    <t>Yuendumu</t>
  </si>
  <si>
    <t>BRT01</t>
  </si>
  <si>
    <t>Yuraygir</t>
  </si>
  <si>
    <t>NNC05</t>
  </si>
  <si>
    <t>JBT</t>
  </si>
  <si>
    <t>Not Reported</t>
  </si>
  <si>
    <r>
      <rPr>
        <b/>
        <vertAlign val="superscript"/>
        <sz val="10"/>
        <color theme="1"/>
        <rFont val="Arial"/>
        <family val="2"/>
      </rPr>
      <t>1</t>
    </r>
    <r>
      <rPr>
        <b/>
        <sz val="10"/>
        <color theme="1"/>
        <rFont val="Arial"/>
        <family val="2"/>
      </rPr>
      <t>Jurisdiction(s) with Protected Area(s)</t>
    </r>
  </si>
  <si>
    <r>
      <rPr>
        <b/>
        <vertAlign val="superscript"/>
        <sz val="11"/>
        <color theme="1"/>
        <rFont val="Calibri"/>
        <family val="2"/>
        <scheme val="minor"/>
      </rPr>
      <t>2</t>
    </r>
    <r>
      <rPr>
        <b/>
        <sz val="11"/>
        <color theme="1"/>
        <rFont val="Calibri"/>
        <family val="2"/>
        <scheme val="minor"/>
      </rPr>
      <t>Area Protected (ha)</t>
    </r>
  </si>
  <si>
    <r>
      <rPr>
        <b/>
        <vertAlign val="superscript"/>
        <sz val="11"/>
        <color theme="1"/>
        <rFont val="Calibri"/>
        <family val="2"/>
        <scheme val="minor"/>
      </rPr>
      <t>3</t>
    </r>
    <r>
      <rPr>
        <b/>
        <sz val="11"/>
        <color theme="1"/>
        <rFont val="Calibri"/>
        <family val="2"/>
        <scheme val="minor"/>
      </rPr>
      <t>Contribution to NRS (%)</t>
    </r>
  </si>
  <si>
    <t>Permanent Park Preserve</t>
  </si>
  <si>
    <r>
      <rPr>
        <vertAlign val="superscript"/>
        <sz val="10"/>
        <color theme="1"/>
        <rFont val="Arial"/>
        <family val="2"/>
      </rPr>
      <t>3</t>
    </r>
    <r>
      <rPr>
        <sz val="10"/>
        <color theme="1"/>
        <rFont val="Arial"/>
        <family val="2"/>
      </rPr>
      <t>EXT (Australian Antarctic Territory)</t>
    </r>
  </si>
  <si>
    <t>3. The total land area of Australia refers to the Australian mainland and all islands. The Antarctic Specially Managed Areas and the Antarctic Specially Protected Areas have been excluded from the % of Australia totals.</t>
  </si>
  <si>
    <t>1. The number of protected areas (as defined by unique PA_IDs) which have been attributed with this TYPE. The total number of protected areas in this tab may differ from the totals in the 'IUCN Category' and 'Detailed List' tabs due to summarising of records based on NAME and TYPE (e.g. unique PA_ID). Overlaps are excluded from the top table.</t>
  </si>
  <si>
    <t>* This information may not match exactly the statistics reported by State, Territory and other agencies. This is likely due to differences in the method used to calculate the Total Area of State/Territory. CAPAD uses state and territory areas as published by Geoscience Australia.</t>
  </si>
  <si>
    <t>4. The total number of protected areas (unique PA_IDs) contributing to the NRS regardless of overlaps. In some previous CAPAD versions this figure was calculated as the sum of the top table total (excluding overlaps), and the bottom table total (overlapped areas).</t>
  </si>
  <si>
    <t xml:space="preserve">2. Area is based on calculated GIS_AREA data (rather than gazetted areas). GIS_AREA is the area in hectares based on current spatial data and an Albers equal area projection for Australia. </t>
  </si>
  <si>
    <t>For Antarctic protected areas (ASMAs and ASPAs), GIS_AREA is calculated using a WGS_1984 Australian Antarctic Polar Stereographic projection.</t>
  </si>
  <si>
    <r>
      <rPr>
        <vertAlign val="superscript"/>
        <sz val="10"/>
        <color theme="1"/>
        <rFont val="Arial"/>
        <family val="2"/>
      </rPr>
      <t>4</t>
    </r>
    <r>
      <rPr>
        <sz val="10"/>
        <color theme="1"/>
        <rFont val="Arial"/>
        <family val="2"/>
      </rPr>
      <t>Total Terrestrial Protected Areas (including overlapping areas - see below)</t>
    </r>
  </si>
  <si>
    <t>1. The number of protected areas (unique PA_ID) within the jurisdiction. Overlaps are excluded from this table.</t>
  </si>
  <si>
    <t>1. The number of protected areas managed under the listed Governance arrangement. The total number in this table is slightly different to the totals in other tabs due to protected areas that have separate parts with different Governance arrangements. Overlaps are excluded from this table.</t>
  </si>
  <si>
    <r>
      <rPr>
        <vertAlign val="superscript"/>
        <sz val="10"/>
        <color theme="1"/>
        <rFont val="Arial"/>
        <family val="2"/>
      </rPr>
      <t>3</t>
    </r>
    <r>
      <rPr>
        <sz val="10"/>
        <color theme="1"/>
        <rFont val="Arial"/>
        <family val="2"/>
      </rPr>
      <t>Government (Australian Antarctic Territory)</t>
    </r>
  </si>
  <si>
    <t>1. The number of protected areas which contain an area with the listed IUCN classification. This area could be the entire protected area or a part of the protected area. The total number of protected areas in this tab may differ from the totals in other tabs due to summarising of records based on NAME, TYPE and IUCN category. Overlaps are excluded from this table.</t>
  </si>
  <si>
    <t>IBRA regions do not extend to the Antarctic land and water areas.</t>
  </si>
  <si>
    <t>*Some protected areas or parts of protected areas are not within IBRA regions/subregions (e.g. ASMAs and ASPAs are not reported). Only the protected area within IBRA regions/subregions are included in the table above. Therefore the total area protected reported here may be slightly less than in the 'Type' and 'IUCN Category' tabs. Overlaps are excluded from this table.</t>
  </si>
  <si>
    <t>* Both the Subantarctic Islands and Coral Sea Bioregions are 100% protected by reserves that are represented in the Marine CAPAD statistics. The Subantarctic Islands Bioregion is protected by the Heard and McDonald Island Marine Reserve and Macquarie Island Nature Reserve. The Coral Sea Bioregion is protected by the Coral Sea Australian Marine Park. See the Marine CAPAD spreadsheets.</t>
  </si>
  <si>
    <t xml:space="preserve">1. Area is based on calculated GIS_AREA data (rather than gazetted areas). GIS_AREA is the area in hectares based on current spatial data and an Albers equal area projection for Australia. </t>
  </si>
  <si>
    <t>EXT,ACT,JBT</t>
  </si>
  <si>
    <t>TAS,VIC,WA,NT</t>
  </si>
  <si>
    <t>QLD,SA,VIC,WA</t>
  </si>
  <si>
    <t>SA,NT,VIC,WA,TAS,NSW</t>
  </si>
  <si>
    <t>SA,QLD</t>
  </si>
  <si>
    <t>NSW,NT,SA,WA,QLD,TAS,VIC</t>
  </si>
  <si>
    <t>WA,TAS,NT,QLD,NSW,SA</t>
  </si>
  <si>
    <t>WA,QLD,NSW,ACT,VIC,NT,SA,TAS</t>
  </si>
  <si>
    <t>EXT,NT,JBT</t>
  </si>
  <si>
    <t>WA,NSW,TAS,ACT,QLD</t>
  </si>
  <si>
    <t>SA,TAS,VIC,QLD,WA,NSW,NT</t>
  </si>
  <si>
    <t>WA,VIC,NT,ACT</t>
  </si>
  <si>
    <t>SA,WA,VIC,NSW</t>
  </si>
  <si>
    <r>
      <rPr>
        <vertAlign val="superscript"/>
        <sz val="10"/>
        <color theme="1"/>
        <rFont val="Arial"/>
        <family val="2"/>
      </rPr>
      <t>4</t>
    </r>
    <r>
      <rPr>
        <sz val="10"/>
        <color theme="1"/>
        <rFont val="Arial"/>
        <family val="2"/>
      </rPr>
      <t>Ia (Australian Antarctic Territory)</t>
    </r>
  </si>
  <si>
    <t>TAS, VIC</t>
  </si>
  <si>
    <t>EXT, WA</t>
  </si>
  <si>
    <t>EXT, NSW</t>
  </si>
  <si>
    <t>NSW, NT, QLD, SA</t>
  </si>
  <si>
    <t>* Only protected areas that meet the standard for inclusion in the NRS are included in this table. For details see the Technical Specification document at - https://www.dcceew.gov.au/environment/land/nrs/science/capad/2024.</t>
  </si>
  <si>
    <t>*IBRA protection values are calculated using IBRA 7.1 (published 2025). Prior to CAPAD 2024, IBRA 7.0 was used.</t>
  </si>
  <si>
    <t>NSW,SA</t>
  </si>
  <si>
    <t>NT,SA</t>
  </si>
  <si>
    <t>SA,VIC</t>
  </si>
  <si>
    <t>SA,WA</t>
  </si>
  <si>
    <t>NT,QLD</t>
  </si>
  <si>
    <t>JBT,NSW</t>
  </si>
  <si>
    <t>NSW,QLD</t>
  </si>
  <si>
    <t>NSW,VIC</t>
  </si>
  <si>
    <t>ACT,NSW</t>
  </si>
  <si>
    <t>NT,WA</t>
  </si>
  <si>
    <t>EXT,WA</t>
  </si>
  <si>
    <t>Jurisdictions</t>
  </si>
  <si>
    <t>NT,QLD,SA</t>
  </si>
  <si>
    <t>TAS,VIC</t>
  </si>
  <si>
    <t>NT,SA,WA</t>
  </si>
  <si>
    <t>ACT,NSW,VIC</t>
  </si>
  <si>
    <t>NSW,SA,VIC</t>
  </si>
  <si>
    <t>NSW,QLD,SA</t>
  </si>
  <si>
    <r>
      <rPr>
        <vertAlign val="superscript"/>
        <sz val="8"/>
        <color rgb="FF808080"/>
        <rFont val="Arial"/>
        <family val="2"/>
      </rPr>
      <t>1</t>
    </r>
    <r>
      <rPr>
        <sz val="8"/>
        <color rgb="FF808080"/>
        <rFont val="Arial"/>
        <family val="2"/>
      </rPr>
      <t>Jurisdiction(s) with protected areas(s) in the subregion.</t>
    </r>
  </si>
  <si>
    <t>*IBRA regions do not extend to the Antarctic land and water areas.</t>
  </si>
  <si>
    <t>*Only protected areas that meet the standard for inclusion in the NRS are included in this table. For details see the Technical Specification document at - https://www.dcceew.gov.au/environment/land/nrs/science/capad/2024.</t>
  </si>
  <si>
    <t>Jurisdiction(s) with Protected Area(s)</t>
  </si>
  <si>
    <t>Total with Australian Antarctic Territory</t>
  </si>
  <si>
    <r>
      <rPr>
        <b/>
        <vertAlign val="superscript"/>
        <sz val="10"/>
        <color theme="1"/>
        <rFont val="Arial"/>
        <family val="2"/>
      </rPr>
      <t>3</t>
    </r>
    <r>
      <rPr>
        <b/>
        <sz val="10"/>
        <color theme="1"/>
        <rFont val="Arial"/>
        <family val="2"/>
      </rPr>
      <t xml:space="preserve"> % of Australia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</si>
</sst>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0" x14ac:knownFonts="1">
    <font>
      <sz val="11"/>
      <color theme="1"/>
      <name val="Calibri"/>
      <family val="2"/>
      <scheme val="minor"/>
    </font>
    <font>
      <b/>
      <sz val="10"/>
      <color theme="1"/>
      <name val="Arial"/>
      <family val="2"/>
    </font>
    <font>
      <sz val="10"/>
      <color theme="1"/>
      <name val="Arial"/>
      <family val="2"/>
    </font>
    <font>
      <sz val="8"/>
      <color rgb="FF808080"/>
      <name val="Arial"/>
      <family val="2"/>
    </font>
    <font>
      <b/>
      <vertAlign val="superscript"/>
      <sz val="10"/>
      <color theme="1"/>
      <name val="Arial"/>
      <family val="2"/>
    </font>
    <font>
      <vertAlign val="superscript"/>
      <sz val="8"/>
      <color rgb="FF808080"/>
      <name val="Arial"/>
      <family val="2"/>
    </font>
    <font>
      <sz val="11"/>
      <color theme="1"/>
      <name val="Calibri"/>
      <family val="2"/>
      <scheme val="minor"/>
    </font>
    <font>
      <b/>
      <sz val="11"/>
      <color theme="1"/>
      <name val="Calibri"/>
      <family val="2"/>
      <scheme val="minor"/>
    </font>
    <font>
      <b/>
      <vertAlign val="superscript"/>
      <sz val="11"/>
      <color theme="1"/>
      <name val="Calibri"/>
      <family val="2"/>
      <scheme val="minor"/>
    </font>
    <font>
      <vertAlign val="superscript"/>
      <sz val="10"/>
      <color theme="1"/>
      <name val="Arial"/>
      <family val="2"/>
    </font>
  </fonts>
  <fills count="5">
    <fill>
      <patternFill patternType="none"/>
    </fill>
    <fill>
      <patternFill patternType="gray125"/>
    </fill>
    <fill>
      <patternFill patternType="solid">
        <fgColor rgb="FF99CC00"/>
        <bgColor indexed="64"/>
      </patternFill>
    </fill>
    <fill>
      <patternFill patternType="solid">
        <fgColor rgb="FFC0C0C0"/>
        <bgColor indexed="64"/>
      </patternFill>
    </fill>
    <fill>
      <patternFill patternType="solid">
        <fgColor theme="0" tint="-0.249977111117893"/>
        <bgColor indexed="64"/>
      </patternFill>
    </fill>
  </fills>
  <borders count="25">
    <border>
      <left/>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top style="thin">
        <color auto="1"/>
      </top>
      <bottom/>
      <diagonal/>
    </border>
    <border>
      <left/>
      <right/>
      <top style="medium">
        <color indexed="64"/>
      </top>
      <bottom style="thin">
        <color indexed="64"/>
      </bottom>
      <diagonal/>
    </border>
    <border>
      <left/>
      <right style="thin">
        <color auto="1"/>
      </right>
      <top style="medium">
        <color auto="1"/>
      </top>
      <bottom style="thin">
        <color indexed="64"/>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right style="thin">
        <color auto="1"/>
      </right>
      <top/>
      <bottom/>
      <diagonal/>
    </border>
    <border>
      <left/>
      <right style="thin">
        <color indexed="64"/>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indexed="64"/>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diagonal/>
    </border>
    <border>
      <left/>
      <right/>
      <top style="medium">
        <color auto="1"/>
      </top>
      <bottom/>
      <diagonal/>
    </border>
    <border>
      <left style="medium">
        <color auto="1"/>
      </left>
      <right/>
      <top style="medium">
        <color auto="1"/>
      </top>
      <bottom/>
      <diagonal/>
    </border>
  </borders>
  <cellStyleXfs count="2">
    <xf numFmtId="0" fontId="0" fillId="0" borderId="0"/>
    <xf numFmtId="43" fontId="6" fillId="0" borderId="0" applyFont="0" applyFill="0" applyBorder="0" applyAlignment="0" applyProtection="0"/>
  </cellStyleXfs>
  <cellXfs count="84">
    <xf numFmtId="0" fontId="0" fillId="0" borderId="0" xfId="0"/>
    <xf numFmtId="0" fontId="0" fillId="0" borderId="2" xfId="0" applyBorder="1"/>
    <xf numFmtId="0" fontId="2" fillId="0" borderId="3" xfId="0" applyFont="1" applyBorder="1"/>
    <xf numFmtId="4" fontId="2" fillId="0" borderId="3" xfId="0" applyNumberFormat="1" applyFont="1" applyBorder="1"/>
    <xf numFmtId="0" fontId="1" fillId="3" borderId="4" xfId="0" applyFont="1" applyFill="1" applyBorder="1"/>
    <xf numFmtId="164" fontId="1" fillId="3" borderId="4" xfId="0" applyNumberFormat="1" applyFont="1" applyFill="1" applyBorder="1"/>
    <xf numFmtId="0" fontId="2" fillId="3" borderId="3" xfId="0" applyFont="1" applyFill="1" applyBorder="1"/>
    <xf numFmtId="0" fontId="1" fillId="3" borderId="3" xfId="0" applyFont="1" applyFill="1" applyBorder="1"/>
    <xf numFmtId="164" fontId="2" fillId="0" borderId="3" xfId="0" applyNumberFormat="1" applyFont="1" applyBorder="1"/>
    <xf numFmtId="0" fontId="2" fillId="0" borderId="0" xfId="0" applyFont="1"/>
    <xf numFmtId="0" fontId="0" fillId="0" borderId="5" xfId="0" applyBorder="1"/>
    <xf numFmtId="0" fontId="0" fillId="0" borderId="0" xfId="0" applyAlignment="1">
      <alignment wrapText="1"/>
    </xf>
    <xf numFmtId="0" fontId="3" fillId="0" borderId="0" xfId="0" applyFont="1" applyAlignment="1">
      <alignment horizontal="left" wrapText="1"/>
    </xf>
    <xf numFmtId="43" fontId="0" fillId="0" borderId="2" xfId="0" applyNumberFormat="1" applyBorder="1"/>
    <xf numFmtId="164" fontId="2" fillId="0" borderId="3" xfId="1" applyNumberFormat="1" applyFont="1" applyBorder="1"/>
    <xf numFmtId="164" fontId="0" fillId="0" borderId="3" xfId="1" applyNumberFormat="1" applyFont="1" applyBorder="1"/>
    <xf numFmtId="0" fontId="2" fillId="0" borderId="6" xfId="0" applyFont="1" applyBorder="1"/>
    <xf numFmtId="0" fontId="0" fillId="0" borderId="7" xfId="0" applyBorder="1"/>
    <xf numFmtId="164" fontId="2" fillId="0" borderId="8" xfId="0" applyNumberFormat="1" applyFont="1" applyBorder="1"/>
    <xf numFmtId="0" fontId="3" fillId="0" borderId="0" xfId="0" applyFont="1" applyAlignment="1">
      <alignment horizontal="left" vertical="center" wrapText="1"/>
    </xf>
    <xf numFmtId="0" fontId="1" fillId="3" borderId="3" xfId="0" applyFont="1" applyFill="1" applyBorder="1" applyAlignment="1">
      <alignment horizontal="center" vertical="center" wrapText="1"/>
    </xf>
    <xf numFmtId="0" fontId="0" fillId="0" borderId="0" xfId="0" applyAlignment="1">
      <alignment vertical="center"/>
    </xf>
    <xf numFmtId="3" fontId="1" fillId="3" borderId="4" xfId="0" applyNumberFormat="1" applyFont="1" applyFill="1" applyBorder="1"/>
    <xf numFmtId="164" fontId="1" fillId="3" borderId="3" xfId="1" applyNumberFormat="1" applyFont="1" applyFill="1" applyBorder="1"/>
    <xf numFmtId="164" fontId="2" fillId="0" borderId="3" xfId="1" applyNumberFormat="1" applyFont="1" applyFill="1" applyBorder="1"/>
    <xf numFmtId="0" fontId="1" fillId="3" borderId="9" xfId="0" applyFont="1" applyFill="1" applyBorder="1" applyAlignment="1">
      <alignment horizontal="center" vertical="center" wrapText="1"/>
    </xf>
    <xf numFmtId="0" fontId="2" fillId="0" borderId="10" xfId="0" applyFont="1" applyBorder="1"/>
    <xf numFmtId="0" fontId="0" fillId="0" borderId="11" xfId="0" applyBorder="1"/>
    <xf numFmtId="0" fontId="3" fillId="0" borderId="0" xfId="0" applyFont="1" applyAlignment="1">
      <alignment wrapText="1"/>
    </xf>
    <xf numFmtId="164" fontId="0" fillId="0" borderId="0" xfId="0" applyNumberFormat="1"/>
    <xf numFmtId="0" fontId="0" fillId="0" borderId="0" xfId="0" applyAlignment="1">
      <alignment horizontal="left"/>
    </xf>
    <xf numFmtId="0" fontId="2" fillId="0" borderId="8" xfId="0" applyFont="1" applyBorder="1"/>
    <xf numFmtId="164" fontId="2" fillId="0" borderId="8" xfId="1" applyNumberFormat="1" applyFont="1" applyBorder="1"/>
    <xf numFmtId="0" fontId="1" fillId="0" borderId="8" xfId="0" applyFont="1" applyBorder="1"/>
    <xf numFmtId="10" fontId="0" fillId="0" borderId="0" xfId="0" applyNumberFormat="1"/>
    <xf numFmtId="0" fontId="0" fillId="0" borderId="2" xfId="0" applyBorder="1" applyAlignment="1">
      <alignment vertical="center"/>
    </xf>
    <xf numFmtId="0" fontId="3" fillId="0" borderId="0" xfId="0" applyFont="1" applyAlignment="1">
      <alignment horizontal="left" vertical="top"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wrapText="1"/>
    </xf>
    <xf numFmtId="164" fontId="2" fillId="3" borderId="3" xfId="0" applyNumberFormat="1" applyFont="1" applyFill="1" applyBorder="1"/>
    <xf numFmtId="2" fontId="0" fillId="0" borderId="0" xfId="0" applyNumberFormat="1"/>
    <xf numFmtId="2" fontId="2" fillId="0" borderId="3" xfId="0" applyNumberFormat="1" applyFont="1" applyBorder="1"/>
    <xf numFmtId="0" fontId="0" fillId="0" borderId="3" xfId="0" applyBorder="1"/>
    <xf numFmtId="0" fontId="2" fillId="0" borderId="11" xfId="0" applyFont="1" applyBorder="1"/>
    <xf numFmtId="0" fontId="1" fillId="3" borderId="14"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5" xfId="0" applyFont="1" applyFill="1" applyBorder="1"/>
    <xf numFmtId="164" fontId="1" fillId="3" borderId="16" xfId="0" applyNumberFormat="1" applyFont="1" applyFill="1" applyBorder="1"/>
    <xf numFmtId="0" fontId="1" fillId="3" borderId="16" xfId="0" applyFont="1" applyFill="1" applyBorder="1"/>
    <xf numFmtId="43" fontId="2" fillId="3" borderId="17" xfId="0" applyNumberFormat="1" applyFont="1" applyFill="1" applyBorder="1"/>
    <xf numFmtId="0" fontId="2" fillId="3" borderId="11" xfId="0" applyFont="1" applyFill="1" applyBorder="1"/>
    <xf numFmtId="0" fontId="2" fillId="0" borderId="16" xfId="0" applyFont="1" applyBorder="1"/>
    <xf numFmtId="0" fontId="1" fillId="4" borderId="11" xfId="0" applyFont="1" applyFill="1" applyBorder="1" applyAlignment="1">
      <alignment vertical="center" wrapText="1"/>
    </xf>
    <xf numFmtId="0" fontId="0" fillId="4" borderId="0" xfId="0" applyFill="1" applyAlignment="1">
      <alignment vertical="center"/>
    </xf>
    <xf numFmtId="0" fontId="1" fillId="4" borderId="3" xfId="0" applyFont="1" applyFill="1" applyBorder="1"/>
    <xf numFmtId="164" fontId="2" fillId="0" borderId="0" xfId="0" applyNumberFormat="1" applyFont="1"/>
    <xf numFmtId="164" fontId="0" fillId="0" borderId="0" xfId="1" applyNumberFormat="1" applyFont="1"/>
    <xf numFmtId="4" fontId="2" fillId="0" borderId="19" xfId="0" applyNumberFormat="1" applyFont="1" applyBorder="1"/>
    <xf numFmtId="0" fontId="1" fillId="3" borderId="20" xfId="0" applyFont="1" applyFill="1" applyBorder="1" applyAlignment="1">
      <alignment horizontal="center" vertical="center" wrapText="1"/>
    </xf>
    <xf numFmtId="43" fontId="1" fillId="3" borderId="16" xfId="0" applyNumberFormat="1" applyFont="1" applyFill="1" applyBorder="1"/>
    <xf numFmtId="43" fontId="1" fillId="3" borderId="18" xfId="0" applyNumberFormat="1" applyFont="1" applyFill="1" applyBorder="1"/>
    <xf numFmtId="4" fontId="1" fillId="3" borderId="16" xfId="0" applyNumberFormat="1" applyFont="1" applyFill="1" applyBorder="1"/>
    <xf numFmtId="4" fontId="1" fillId="3" borderId="18" xfId="0" applyNumberFormat="1" applyFont="1" applyFill="1" applyBorder="1"/>
    <xf numFmtId="164" fontId="1" fillId="4" borderId="3" xfId="0" applyNumberFormat="1" applyFont="1" applyFill="1" applyBorder="1"/>
    <xf numFmtId="164" fontId="7" fillId="4" borderId="3" xfId="0" applyNumberFormat="1" applyFont="1" applyFill="1" applyBorder="1"/>
    <xf numFmtId="0" fontId="1" fillId="3" borderId="19" xfId="0" applyFont="1" applyFill="1" applyBorder="1" applyAlignment="1">
      <alignment horizontal="center" vertical="center" wrapText="1"/>
    </xf>
    <xf numFmtId="2" fontId="0" fillId="0" borderId="19" xfId="0" applyNumberFormat="1" applyBorder="1"/>
    <xf numFmtId="0" fontId="1" fillId="3" borderId="18" xfId="0" applyFont="1" applyFill="1" applyBorder="1"/>
    <xf numFmtId="0" fontId="1" fillId="3" borderId="11" xfId="0" applyFont="1" applyFill="1" applyBorder="1"/>
    <xf numFmtId="43" fontId="2" fillId="0" borderId="19" xfId="0" applyNumberFormat="1" applyFont="1" applyBorder="1"/>
    <xf numFmtId="4" fontId="1" fillId="3" borderId="21" xfId="0" applyNumberFormat="1" applyFont="1" applyFill="1" applyBorder="1"/>
    <xf numFmtId="0" fontId="7" fillId="3" borderId="8"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3" fillId="0" borderId="0" xfId="0" applyFont="1" applyAlignment="1">
      <alignment horizontal="left" vertical="top" wrapText="1"/>
    </xf>
    <xf numFmtId="0" fontId="1" fillId="2" borderId="1" xfId="0" applyFont="1" applyFill="1" applyBorder="1" applyAlignment="1">
      <alignment horizontal="center" vertical="center"/>
    </xf>
    <xf numFmtId="0" fontId="3" fillId="0" borderId="0" xfId="0" applyFont="1" applyAlignment="1">
      <alignment horizontal="left" wrapText="1"/>
    </xf>
    <xf numFmtId="0" fontId="1" fillId="2" borderId="22" xfId="0" applyFont="1" applyFill="1" applyBorder="1" applyAlignment="1">
      <alignment horizontal="center" vertical="center"/>
    </xf>
    <xf numFmtId="0" fontId="3" fillId="0" borderId="0" xfId="0" applyFont="1" applyAlignment="1">
      <alignment horizontal="left" vertical="center" wrapText="1"/>
    </xf>
    <xf numFmtId="0" fontId="1" fillId="2" borderId="24"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12" xfId="0" applyFont="1" applyFill="1" applyBorder="1" applyAlignment="1">
      <alignment horizontal="center" vertical="center"/>
    </xf>
    <xf numFmtId="0" fontId="1" fillId="2" borderId="13" xfId="0" applyFont="1" applyFill="1" applyBorder="1" applyAlignment="1">
      <alignment horizontal="center" vertical="center"/>
    </xf>
    <xf numFmtId="0" fontId="3" fillId="0" borderId="0" xfId="0" applyFont="1" applyAlignment="1">
      <alignment wrapText="1"/>
    </xf>
  </cellXfs>
  <cellStyles count="2">
    <cellStyle name="Comma" xfId="1" builtinId="3"/>
    <cellStyle name="Normal" xfId="0" builtinId="0"/>
  </cellStyles>
  <dxfs count="90">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right style="thin">
          <color indexed="64"/>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medium">
          <color auto="1"/>
        </bottom>
      </border>
    </dxf>
    <dxf>
      <font>
        <b val="0"/>
        <i val="0"/>
        <strike val="0"/>
        <condense val="0"/>
        <extend val="0"/>
        <outline val="0"/>
        <shadow val="0"/>
        <u val="none"/>
        <vertAlign val="baseline"/>
        <sz val="10"/>
        <color theme="1"/>
        <name val="Arial"/>
        <family val="2"/>
        <scheme val="none"/>
      </font>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35" formatCode="_-* #,##0.00_-;\-* #,##0.00_-;_-* &quot;-&quot;??_-;_-@_-"/>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indexed="64"/>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rder>
    </dxf>
    <dxf>
      <font>
        <b val="0"/>
        <i val="0"/>
        <strike val="0"/>
        <condense val="0"/>
        <extend val="0"/>
        <outline val="0"/>
        <shadow val="0"/>
        <u val="none"/>
        <vertAlign val="baseline"/>
        <sz val="10"/>
        <color theme="1"/>
        <name val="Arial"/>
        <family val="2"/>
        <scheme val="none"/>
      </font>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right style="thin">
          <color indexed="64"/>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medium">
          <color auto="1"/>
        </bottom>
      </border>
    </dxf>
    <dxf>
      <font>
        <b val="0"/>
        <i val="0"/>
        <strike val="0"/>
        <condense val="0"/>
        <extend val="0"/>
        <outline val="0"/>
        <shadow val="0"/>
        <u val="none"/>
        <vertAlign val="baseline"/>
        <sz val="10"/>
        <color theme="1"/>
        <name val="Arial"/>
        <family val="2"/>
        <scheme val="none"/>
      </font>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border outline="0">
        <right style="thin">
          <color auto="1"/>
        </right>
        <top style="medium">
          <color auto="1"/>
        </top>
        <bottom style="medium">
          <color auto="1"/>
        </bottom>
      </border>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right style="thin">
          <color indexed="64"/>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medium">
          <color auto="1"/>
        </bottom>
      </border>
    </dxf>
    <dxf>
      <font>
        <b val="0"/>
        <i val="0"/>
        <strike val="0"/>
        <condense val="0"/>
        <extend val="0"/>
        <outline val="0"/>
        <shadow val="0"/>
        <u val="none"/>
        <vertAlign val="baseline"/>
        <sz val="10"/>
        <color theme="1"/>
        <name val="Arial"/>
        <family val="2"/>
        <scheme val="none"/>
      </font>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2"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right style="thin">
          <color indexed="64"/>
        </right>
        <top style="thin">
          <color auto="1"/>
        </top>
        <bottom style="thin">
          <color auto="1"/>
        </bottom>
        <vertical/>
        <horizontal/>
      </border>
    </dxf>
    <dxf>
      <border outline="0">
        <left style="thin">
          <color auto="1"/>
        </left>
        <right style="thin">
          <color auto="1"/>
        </right>
        <top style="thin">
          <color auto="1"/>
        </top>
        <bottom style="medium">
          <color auto="1"/>
        </bottom>
      </border>
    </dxf>
    <dxf>
      <font>
        <b val="0"/>
        <i val="0"/>
        <strike val="0"/>
        <condense val="0"/>
        <extend val="0"/>
        <outline val="0"/>
        <shadow val="0"/>
        <u val="none"/>
        <vertAlign val="baseline"/>
        <sz val="10"/>
        <color theme="1"/>
        <name val="Arial"/>
        <family val="2"/>
        <scheme val="none"/>
      </font>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right style="thin">
          <color indexed="64"/>
        </right>
        <top style="thin">
          <color auto="1"/>
        </top>
        <bottom style="thin">
          <color auto="1"/>
        </bottom>
        <vertical/>
        <horizontal/>
      </border>
    </dxf>
    <dxf>
      <border outline="0">
        <left style="thin">
          <color auto="1"/>
        </left>
        <top style="thin">
          <color auto="1"/>
        </top>
      </border>
    </dxf>
    <dxf>
      <alignment vertical="center" textRotation="0" indent="0" justifyLastLine="0" shrinkToFit="0" readingOrder="0"/>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right style="thin">
          <color indexed="64"/>
        </right>
        <top style="thin">
          <color auto="1"/>
        </top>
        <bottom style="thin">
          <color auto="1"/>
        </bottom>
        <vertical/>
        <horizontal/>
      </border>
    </dxf>
    <dxf>
      <border outline="0">
        <top style="thin">
          <color auto="1"/>
        </top>
      </border>
    </dxf>
    <dxf>
      <border outline="0">
        <left style="thin">
          <color auto="1"/>
        </left>
        <top style="thin">
          <color auto="1"/>
        </top>
        <bottom style="medium">
          <color indexed="64"/>
        </bottom>
      </border>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865ED1-DD84-44AD-AFA2-3F66ADC9BD5A}" name="Table1" displayName="Table1" ref="A2:E69" totalsRowShown="0" headerRowDxfId="89" headerRowBorderDxfId="88" tableBorderDxfId="87" totalsRowBorderDxfId="86">
  <autoFilter ref="A2:E69" xr:uid="{31865ED1-DD84-44AD-AFA2-3F66ADC9BD5A}"/>
  <tableColumns count="5">
    <tableColumn id="1" xr3:uid="{46845EE0-DB40-4409-A54F-6C8ED767F823}" name="Type" dataDxfId="85"/>
    <tableColumn id="2" xr3:uid="{5D1864B4-4A33-4731-A161-76698559A92A}" name="1Number" dataDxfId="84"/>
    <tableColumn id="3" xr3:uid="{09AB9144-D771-478A-8D9C-4980D9291E7F}" name="2Area (ha)" dataDxfId="83"/>
    <tableColumn id="4" xr3:uid="{D514C715-8A64-49DA-A0AE-7A266E13A785}" name="Jurisdiction(s)" dataDxfId="82"/>
    <tableColumn id="5" xr3:uid="{CCB2FB4B-0D86-48AC-9BAF-1325D7FBE500}" name="3% of Australia" dataDxfId="81"/>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6E5103-F634-49B1-953A-112BC9EAE626}" name="Table2" displayName="Table2" ref="A74:E103" totalsRowShown="0" headerRowDxfId="80" tableBorderDxfId="79">
  <autoFilter ref="A74:E103" xr:uid="{8F6E5103-F634-49B1-953A-112BC9EAE626}"/>
  <tableColumns count="5">
    <tableColumn id="1" xr3:uid="{9C6AE6DE-6C45-44E4-B213-EAB0F3073C23}" name="Additional types WITHIN or PARTIALLY WITHIN the protected areas above" dataDxfId="78"/>
    <tableColumn id="2" xr3:uid="{F6F0A01A-119F-4882-B910-F82DC4460743}" name="Number" dataDxfId="77"/>
    <tableColumn id="3" xr3:uid="{99E5BEA6-5944-4BEB-897E-A567B9756B5B}" name="Overlapping Area (ha)" dataDxfId="76"/>
    <tableColumn id="4" xr3:uid="{FCE61E1D-DD42-4092-9B96-16C62B765FB6}" name="Jurisdiction(s)" dataDxfId="75"/>
    <tableColumn id="5" xr3:uid="{5E08F43D-CD56-455F-8A26-346CF1865871}" name="3% of Australia" dataDxfId="74"/>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B614D5-337B-48DD-BBC3-596546A8694E}" name="Table3" displayName="Table3" ref="A2:F13" totalsRowShown="0" headerRowDxfId="73" dataDxfId="71" headerRowBorderDxfId="72" tableBorderDxfId="70">
  <autoFilter ref="A2:F13" xr:uid="{99B614D5-337B-48DD-BBC3-596546A8694E}"/>
  <tableColumns count="6">
    <tableColumn id="1" xr3:uid="{D5F2FCAC-6A3D-4833-8CEB-C148D523E7D5}" name="Jurisdiction" dataDxfId="69"/>
    <tableColumn id="2" xr3:uid="{E7C0FE8A-77C8-4B1E-98D9-CB6E693110F9}" name="Jurisdiction Area (ha)" dataDxfId="68"/>
    <tableColumn id="3" xr3:uid="{8161D7D9-E3B0-435C-A045-F64C3C153846}" name="1Number" dataDxfId="67"/>
    <tableColumn id="4" xr3:uid="{8A1BF8E8-6FF7-4BE6-9568-F80CA00211D0}" name="2Protected Area (ha)" dataDxfId="66"/>
    <tableColumn id="6" xr3:uid="{5A07BE19-3AC3-4881-9F46-62CDB1244DC5}" name="% of Jurisdiction Protected " dataDxfId="65">
      <calculatedColumnFormula>D3/B3*100</calculatedColumnFormula>
    </tableColumn>
    <tableColumn id="7" xr3:uid="{78989D12-5C87-4FF4-ABFA-CA93E5198227}" name="Contribution to NRS (%)" dataDxfId="64"/>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DEEA7F-6F20-437C-A42E-EAB12F74EAA5}" name="Table4" displayName="Table4" ref="A2:E7" totalsRowShown="0" headerRowDxfId="63" dataDxfId="61" headerRowBorderDxfId="62" tableBorderDxfId="60" totalsRowBorderDxfId="59">
  <autoFilter ref="A2:E7" xr:uid="{21DEEA7F-6F20-437C-A42E-EAB12F74EAA5}"/>
  <tableColumns count="5">
    <tableColumn id="1" xr3:uid="{A0B3D594-F649-4102-A902-EF074BEFB7D9}" name="Governance" dataDxfId="58"/>
    <tableColumn id="2" xr3:uid="{7FA68112-6FA3-4247-877C-57B31E74B13E}" name="1Number" dataDxfId="57"/>
    <tableColumn id="3" xr3:uid="{05D6CFDC-52A2-4AAE-931D-AD466FCC6A28}" name="2Protected Area (ha)" dataDxfId="56"/>
    <tableColumn id="5" xr3:uid="{F5E237C9-7438-4005-9C63-F4879F7FEC8F}" name="3% of Australia" dataDxfId="55"/>
    <tableColumn id="6" xr3:uid="{061D15A0-AD10-41A9-99CF-8AD0AD627B5C}" name="Contribution to NRS (%)" dataDxfId="54"/>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65EEFA-348F-456E-892F-3D32A6975F7C}" name="Table5" displayName="Table5" ref="A2:E13" totalsRowShown="0" headerRowDxfId="53" headerRowBorderDxfId="52" tableBorderDxfId="51">
  <autoFilter ref="A2:E13" xr:uid="{A865EEFA-348F-456E-892F-3D32A6975F7C}"/>
  <tableColumns count="5">
    <tableColumn id="1" xr3:uid="{BF98AF30-C271-488A-9B4B-AFCE1C7E6F17}" name="IUCN Category"/>
    <tableColumn id="2" xr3:uid="{3D3E4196-D1E7-41E4-BEF4-FD3C1B31B8E4}" name="1Number" dataDxfId="50"/>
    <tableColumn id="3" xr3:uid="{A7F4745A-C184-408F-A154-C61965B98B4D}" name="2Area (ha)" dataDxfId="49" dataCellStyle="Comma"/>
    <tableColumn id="5" xr3:uid="{5EAD120D-4C66-4102-AE2F-A1DADD2DDA3C}" name="3 % of Australia" dataDxfId="48"/>
    <tableColumn id="6" xr3:uid="{38868E3C-977B-498B-983A-9CEEC8379023}" name="Contribution to NRS (%)" dataDxfId="47"/>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92672B-6DCF-4264-A126-0FA1C950FEF7}" name="Table6" displayName="Table6" ref="A2:H92" totalsRowShown="0" headerRowDxfId="46" dataDxfId="44" headerRowBorderDxfId="45" tableBorderDxfId="43" totalsRowBorderDxfId="42">
  <autoFilter ref="A2:H92" xr:uid="{7A92672B-6DCF-4264-A126-0FA1C950FEF7}"/>
  <tableColumns count="8">
    <tableColumn id="1" xr3:uid="{6075B0F9-8E78-4F93-B95B-BF625602DFEA}" name="IBRA Region Name" dataDxfId="41"/>
    <tableColumn id="2" xr3:uid="{481AE02C-C6EE-4EF3-BD11-573C8DDB737D}" name="IBRA Region Code" dataDxfId="40"/>
    <tableColumn id="3" xr3:uid="{D449C944-6949-4D23-BA33-715D28DEB3EE}" name="Jurisdiction(s)" dataDxfId="39"/>
    <tableColumn id="4" xr3:uid="{9B3CFEAD-B18E-4236-9547-48D870ECBD47}" name="Jurisdiction(s) with Protected Area(s)" dataDxfId="38"/>
    <tableColumn id="5" xr3:uid="{CBB3CACE-8521-4E36-8B46-DE5373FB0703}" name="IBRA Area (ha)" dataDxfId="37"/>
    <tableColumn id="6" xr3:uid="{3F24328B-4BAE-4E29-B64B-875ECF26C942}" name="1Area Protected (ha)" dataDxfId="36"/>
    <tableColumn id="7" xr3:uid="{F9E75375-3DB3-499D-904F-4254D50E8DFD}" name="% IBRA Region Protected" dataDxfId="35"/>
    <tableColumn id="8" xr3:uid="{ADE8F18D-39A7-440C-8AE2-5DDF4A8C49D9}" name="Contribution to NRS (%)" dataDxfId="34"/>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116114-97AA-4B27-B500-EE97977DF5F2}" name="Table7" displayName="Table7" ref="A2:O92" totalsRowShown="0" headerRowDxfId="33" dataDxfId="31" headerRowBorderDxfId="32" tableBorderDxfId="30" totalsRowBorderDxfId="29">
  <autoFilter ref="A2:O92" xr:uid="{16116114-97AA-4B27-B500-EE97977DF5F2}"/>
  <tableColumns count="15">
    <tableColumn id="1" xr3:uid="{8D1F4C8F-5CCD-4585-9794-90C86B2DE6E0}" name="IBRA Region Name" dataDxfId="28"/>
    <tableColumn id="2" xr3:uid="{55BFD2DF-02BF-495D-8842-E24D9625211B}" name="IBRA Region Code" dataDxfId="27"/>
    <tableColumn id="3" xr3:uid="{20905060-3952-4A40-9BB1-9C5DE3C28C72}" name="Ia" dataDxfId="26"/>
    <tableColumn id="4" xr3:uid="{9B8855EE-7340-417E-BB0A-F32D5D3D49DB}" name="Ib" dataDxfId="25"/>
    <tableColumn id="5" xr3:uid="{3FA1BA55-BCCF-4912-B565-65816E061872}" name="II" dataDxfId="24"/>
    <tableColumn id="6" xr3:uid="{8DCC1075-CFC9-4132-8B22-AE05FD6DA418}" name="III" dataDxfId="23"/>
    <tableColumn id="7" xr3:uid="{312C5207-28FF-4C0C-ACEB-5F33139DB969}" name="IV" dataDxfId="22"/>
    <tableColumn id="8" xr3:uid="{F6D5C8E6-E60C-4D6A-A002-4E4EECE68915}" name="V" dataDxfId="21"/>
    <tableColumn id="9" xr3:uid="{079565AA-ECBC-4658-9F03-96D406665611}" name="VI" dataDxfId="20"/>
    <tableColumn id="10" xr3:uid="{A0D06CD8-C360-4245-AEC2-335BB6770BE0}" name="Not Applicable" dataDxfId="19"/>
    <tableColumn id="11" xr3:uid="{3C5037B2-AB47-43C4-AF82-100AA21F64AE}" name="Not Assigned" dataDxfId="18"/>
    <tableColumn id="12" xr3:uid="{FEB6D3DF-EE44-48B7-8635-532E1C0397D6}" name="Not Reported" dataDxfId="17"/>
    <tableColumn id="13" xr3:uid="{97CDBBBF-2DE8-4FDE-B027-508BC689CC63}" name="Total Area Protected (ha)" dataDxfId="16"/>
    <tableColumn id="14" xr3:uid="{95560B1E-5C41-4D28-A837-E83444207A1C}" name="IBRA Region Area (ha)" dataDxfId="15"/>
    <tableColumn id="15" xr3:uid="{8C2FCB29-E2F8-4F92-9D5C-7DD27640FC13}" name="% IBRA Region Protected" dataDxfId="14"/>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539AA1-4155-4966-BE5D-9B3B8455B9FA}" name="Table8" displayName="Table8" ref="A2:I422" totalsRowShown="0" headerRowDxfId="13" dataDxfId="11" headerRowBorderDxfId="12" tableBorderDxfId="10" totalsRowBorderDxfId="9">
  <autoFilter ref="A2:I422" xr:uid="{CD539AA1-4155-4966-BE5D-9B3B8455B9FA}"/>
  <tableColumns count="9">
    <tableColumn id="1" xr3:uid="{5CCE374C-A821-4400-96B0-068EC0BF9706}" name="IBRA Region Code" dataDxfId="8"/>
    <tableColumn id="2" xr3:uid="{C77D305D-70AD-4E5D-8250-86CB2D28279D}" name="IBRA Subregion Name" dataDxfId="7"/>
    <tableColumn id="3" xr3:uid="{7E6F48D0-9499-42D4-AF79-70650AC1FD6E}" name="IBRA Subregion Code" dataDxfId="6"/>
    <tableColumn id="4" xr3:uid="{6432F6EF-EE75-4E9B-B741-48F9D4CAF97F}" name="Jurisdictions" dataDxfId="5"/>
    <tableColumn id="5" xr3:uid="{C60D6E66-6345-48AC-B92E-5D185C7B2C8B}" name="1Jurisdiction(s) with Protected Area(s)" dataDxfId="4"/>
    <tableColumn id="6" xr3:uid="{391ECB52-422B-4F90-9A0C-A8C14179E04C}" name="Subregion Area (ha)" dataDxfId="3"/>
    <tableColumn id="7" xr3:uid="{4EA94084-E0F6-43B5-9184-410399F1B8E8}" name="2Area Protected (ha)" dataDxfId="2"/>
    <tableColumn id="8" xr3:uid="{D8D258F8-A97A-4035-AD5E-02BDE36E4E19}" name="% IBRA Subregion Protected" dataDxfId="1"/>
    <tableColumn id="9" xr3:uid="{DB35E877-2791-4D1B-9390-33F620FBC187}" name="3Contribution to NRS (%)" dataDxfId="0"/>
  </tableColumns>
  <tableStyleInfo name="TableStyleLight1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4"/>
  <sheetViews>
    <sheetView tabSelected="1" workbookViewId="0">
      <pane ySplit="2" topLeftCell="A3" activePane="bottomLeft" state="frozen"/>
      <selection pane="bottomLeft" sqref="A1:E1"/>
    </sheetView>
  </sheetViews>
  <sheetFormatPr defaultRowHeight="14.6" x14ac:dyDescent="0.4"/>
  <cols>
    <col min="1" max="1" width="64.15234375" customWidth="1"/>
    <col min="2" max="2" width="17.69140625" customWidth="1"/>
    <col min="3" max="3" width="20.53515625" customWidth="1"/>
    <col min="4" max="4" width="30.69140625" customWidth="1"/>
    <col min="5" max="5" width="14.53515625" customWidth="1"/>
    <col min="7" max="7" width="10.3828125" customWidth="1"/>
  </cols>
  <sheetData>
    <row r="1" spans="1:5" s="21" customFormat="1" ht="23.15" customHeight="1" thickBot="1" x14ac:dyDescent="0.45">
      <c r="A1" s="75" t="s">
        <v>0</v>
      </c>
      <c r="B1" s="75"/>
      <c r="C1" s="75"/>
      <c r="D1" s="75"/>
      <c r="E1" s="75"/>
    </row>
    <row r="2" spans="1:5" s="21" customFormat="1" ht="23.15" customHeight="1" x14ac:dyDescent="0.4">
      <c r="A2" s="45" t="s">
        <v>1</v>
      </c>
      <c r="B2" s="46" t="s">
        <v>2</v>
      </c>
      <c r="C2" s="46" t="s">
        <v>3</v>
      </c>
      <c r="D2" s="46" t="s">
        <v>4</v>
      </c>
      <c r="E2" s="46" t="s">
        <v>5</v>
      </c>
    </row>
    <row r="3" spans="1:5" ht="14.15" customHeight="1" x14ac:dyDescent="0.4">
      <c r="A3" s="44" t="s">
        <v>6</v>
      </c>
      <c r="B3" s="2">
        <v>44</v>
      </c>
      <c r="C3" s="3">
        <v>220823.59534008149</v>
      </c>
      <c r="D3" s="2" t="s">
        <v>7</v>
      </c>
      <c r="E3" s="3">
        <v>2.8722074198320589E-2</v>
      </c>
    </row>
    <row r="4" spans="1:5" ht="14.15" customHeight="1" x14ac:dyDescent="0.4">
      <c r="A4" s="44" t="s">
        <v>8</v>
      </c>
      <c r="B4" s="2">
        <v>129</v>
      </c>
      <c r="C4" s="3">
        <v>794215.27332012379</v>
      </c>
      <c r="D4" s="2" t="s">
        <v>7</v>
      </c>
      <c r="E4" s="3">
        <v>0.1033019590800927</v>
      </c>
    </row>
    <row r="5" spans="1:5" ht="14.15" customHeight="1" x14ac:dyDescent="0.4">
      <c r="A5" s="44" t="s">
        <v>9</v>
      </c>
      <c r="B5" s="2">
        <v>16</v>
      </c>
      <c r="C5" s="3">
        <v>16057.633348907601</v>
      </c>
      <c r="D5" s="2" t="s">
        <v>10</v>
      </c>
      <c r="E5" s="3">
        <v>2.0885835854020148E-3</v>
      </c>
    </row>
    <row r="6" spans="1:5" ht="14.15" customHeight="1" x14ac:dyDescent="0.4">
      <c r="A6" s="44" t="s">
        <v>11</v>
      </c>
      <c r="B6" s="2">
        <v>1</v>
      </c>
      <c r="C6" s="3">
        <v>23896.75340596274</v>
      </c>
      <c r="D6" s="2" t="s">
        <v>12</v>
      </c>
      <c r="E6" s="3">
        <v>0</v>
      </c>
    </row>
    <row r="7" spans="1:5" ht="14.15" customHeight="1" x14ac:dyDescent="0.4">
      <c r="A7" s="44" t="s">
        <v>13</v>
      </c>
      <c r="B7" s="2">
        <v>13</v>
      </c>
      <c r="C7" s="3">
        <v>16760.329859013898</v>
      </c>
      <c r="D7" s="2" t="s">
        <v>12</v>
      </c>
      <c r="E7" s="3">
        <v>0</v>
      </c>
    </row>
    <row r="8" spans="1:5" ht="14.15" customHeight="1" x14ac:dyDescent="0.4">
      <c r="A8" s="44" t="s">
        <v>14</v>
      </c>
      <c r="B8" s="2">
        <v>324</v>
      </c>
      <c r="C8" s="3">
        <v>81440.21091953323</v>
      </c>
      <c r="D8" s="2" t="s">
        <v>10</v>
      </c>
      <c r="E8" s="3">
        <v>1.0592761960764689E-2</v>
      </c>
    </row>
    <row r="9" spans="1:5" ht="14.15" customHeight="1" x14ac:dyDescent="0.4">
      <c r="A9" s="44" t="s">
        <v>15</v>
      </c>
      <c r="B9" s="2">
        <v>2</v>
      </c>
      <c r="C9" s="3">
        <v>840.15522505687841</v>
      </c>
      <c r="D9" s="2" t="s">
        <v>7</v>
      </c>
      <c r="E9" s="3">
        <v>1.092772748085512E-4</v>
      </c>
    </row>
    <row r="10" spans="1:5" ht="14.15" customHeight="1" x14ac:dyDescent="0.4">
      <c r="A10" s="44" t="s">
        <v>16</v>
      </c>
      <c r="B10" s="2">
        <v>3</v>
      </c>
      <c r="C10" s="3">
        <v>157.54825652511539</v>
      </c>
      <c r="D10" s="2" t="s">
        <v>1187</v>
      </c>
      <c r="E10" s="3">
        <v>2.049198006563323E-5</v>
      </c>
    </row>
    <row r="11" spans="1:5" ht="14.15" customHeight="1" x14ac:dyDescent="0.4">
      <c r="A11" s="44" t="s">
        <v>17</v>
      </c>
      <c r="B11" s="2">
        <v>34</v>
      </c>
      <c r="C11" s="3">
        <v>131721.8816179295</v>
      </c>
      <c r="D11" s="2" t="s">
        <v>10</v>
      </c>
      <c r="E11" s="3">
        <v>1.7132796210232979E-2</v>
      </c>
    </row>
    <row r="12" spans="1:5" ht="14.15" customHeight="1" x14ac:dyDescent="0.4">
      <c r="A12" s="44" t="s">
        <v>18</v>
      </c>
      <c r="B12" s="2">
        <v>5</v>
      </c>
      <c r="C12" s="3">
        <v>21534.976980865991</v>
      </c>
      <c r="D12" s="2" t="s">
        <v>10</v>
      </c>
      <c r="E12" s="3">
        <v>2.8010104887160581E-3</v>
      </c>
    </row>
    <row r="13" spans="1:5" ht="14.15" customHeight="1" x14ac:dyDescent="0.4">
      <c r="A13" s="44" t="s">
        <v>19</v>
      </c>
      <c r="B13" s="2">
        <v>23</v>
      </c>
      <c r="C13" s="3">
        <v>195212.7846740275</v>
      </c>
      <c r="D13" s="2" t="s">
        <v>10</v>
      </c>
      <c r="E13" s="3">
        <v>2.5390928343654629E-2</v>
      </c>
    </row>
    <row r="14" spans="1:5" ht="14.15" customHeight="1" x14ac:dyDescent="0.4">
      <c r="A14" s="44" t="s">
        <v>20</v>
      </c>
      <c r="B14" s="2">
        <v>1</v>
      </c>
      <c r="C14" s="3">
        <v>1365.745291533543</v>
      </c>
      <c r="D14" s="2" t="s">
        <v>21</v>
      </c>
      <c r="E14" s="3">
        <v>1.7763970167690381E-4</v>
      </c>
    </row>
    <row r="15" spans="1:5" ht="14.15" customHeight="1" x14ac:dyDescent="0.4">
      <c r="A15" s="44" t="s">
        <v>22</v>
      </c>
      <c r="B15" s="2">
        <v>962</v>
      </c>
      <c r="C15" s="3">
        <v>316927.66314058867</v>
      </c>
      <c r="D15" s="2" t="s">
        <v>10</v>
      </c>
      <c r="E15" s="3">
        <v>4.1222134084926261E-2</v>
      </c>
    </row>
    <row r="16" spans="1:5" ht="14.15" customHeight="1" x14ac:dyDescent="0.4">
      <c r="A16" s="44" t="s">
        <v>23</v>
      </c>
      <c r="B16" s="2">
        <v>407</v>
      </c>
      <c r="C16" s="3">
        <v>667428.14446012839</v>
      </c>
      <c r="D16" s="2" t="s">
        <v>24</v>
      </c>
      <c r="E16" s="3">
        <v>8.6811016085977646E-2</v>
      </c>
    </row>
    <row r="17" spans="1:5" ht="14.15" customHeight="1" x14ac:dyDescent="0.4">
      <c r="A17" s="44" t="s">
        <v>25</v>
      </c>
      <c r="B17" s="2">
        <v>2742</v>
      </c>
      <c r="C17" s="3">
        <v>343737.29926458432</v>
      </c>
      <c r="D17" s="2" t="s">
        <v>1188</v>
      </c>
      <c r="E17" s="3">
        <v>4.4709208719308009E-2</v>
      </c>
    </row>
    <row r="18" spans="1:5" ht="14.15" customHeight="1" x14ac:dyDescent="0.4">
      <c r="A18" s="44" t="s">
        <v>26</v>
      </c>
      <c r="B18" s="2">
        <v>594</v>
      </c>
      <c r="C18" s="3">
        <v>6684059.6454756409</v>
      </c>
      <c r="D18" s="2" t="s">
        <v>1189</v>
      </c>
      <c r="E18" s="3">
        <v>0.86938199148370432</v>
      </c>
    </row>
    <row r="19" spans="1:5" ht="14.15" customHeight="1" x14ac:dyDescent="0.4">
      <c r="A19" s="44" t="s">
        <v>27</v>
      </c>
      <c r="B19" s="2">
        <v>64</v>
      </c>
      <c r="C19" s="3">
        <v>991880.79530315904</v>
      </c>
      <c r="D19" s="2" t="s">
        <v>1190</v>
      </c>
      <c r="E19" s="3">
        <v>0.1290119099578648</v>
      </c>
    </row>
    <row r="20" spans="1:5" ht="14.15" customHeight="1" x14ac:dyDescent="0.4">
      <c r="A20" s="44" t="s">
        <v>28</v>
      </c>
      <c r="B20" s="2">
        <v>2</v>
      </c>
      <c r="C20" s="3">
        <v>1246.392537519177</v>
      </c>
      <c r="D20" s="2" t="s">
        <v>29</v>
      </c>
      <c r="E20" s="3">
        <v>1.621157326404649E-4</v>
      </c>
    </row>
    <row r="21" spans="1:5" ht="14.15" customHeight="1" x14ac:dyDescent="0.4">
      <c r="A21" s="44" t="s">
        <v>30</v>
      </c>
      <c r="B21" s="2">
        <v>88</v>
      </c>
      <c r="C21" s="3">
        <v>65934.62360436478</v>
      </c>
      <c r="D21" s="2" t="s">
        <v>10</v>
      </c>
      <c r="E21" s="3">
        <v>8.5759818758786716E-3</v>
      </c>
    </row>
    <row r="22" spans="1:5" ht="14.15" customHeight="1" x14ac:dyDescent="0.4">
      <c r="A22" s="44" t="s">
        <v>31</v>
      </c>
      <c r="B22" s="2">
        <v>83</v>
      </c>
      <c r="C22" s="3">
        <v>57477.562323858619</v>
      </c>
      <c r="D22" s="2" t="s">
        <v>1191</v>
      </c>
      <c r="E22" s="3">
        <v>7.4759891815999874E-3</v>
      </c>
    </row>
    <row r="23" spans="1:5" ht="14.15" customHeight="1" x14ac:dyDescent="0.4">
      <c r="A23" s="44" t="s">
        <v>33</v>
      </c>
      <c r="B23" s="2">
        <v>21</v>
      </c>
      <c r="C23" s="3">
        <v>42848.712739305178</v>
      </c>
      <c r="D23" s="2" t="s">
        <v>73</v>
      </c>
      <c r="E23" s="3">
        <v>5.5732445833312797E-3</v>
      </c>
    </row>
    <row r="24" spans="1:5" ht="14.15" customHeight="1" x14ac:dyDescent="0.4">
      <c r="A24" s="44" t="s">
        <v>34</v>
      </c>
      <c r="B24" s="2">
        <v>1650</v>
      </c>
      <c r="C24" s="3">
        <v>1004837.698725993</v>
      </c>
      <c r="D24" s="2" t="s">
        <v>35</v>
      </c>
      <c r="E24" s="3">
        <v>0.13069718793243071</v>
      </c>
    </row>
    <row r="25" spans="1:5" ht="14.15" customHeight="1" x14ac:dyDescent="0.4">
      <c r="A25" s="44" t="s">
        <v>36</v>
      </c>
      <c r="B25" s="2">
        <v>17</v>
      </c>
      <c r="C25" s="3">
        <v>52813.587780764043</v>
      </c>
      <c r="D25" s="2" t="s">
        <v>37</v>
      </c>
      <c r="E25" s="3">
        <v>6.8693555350481496E-3</v>
      </c>
    </row>
    <row r="26" spans="1:5" ht="14.15" customHeight="1" x14ac:dyDescent="0.4">
      <c r="A26" s="44" t="s">
        <v>38</v>
      </c>
      <c r="B26" s="2">
        <v>38</v>
      </c>
      <c r="C26" s="3">
        <v>18962.404248631421</v>
      </c>
      <c r="D26" s="2" t="s">
        <v>39</v>
      </c>
      <c r="E26" s="3">
        <v>2.466401205763196E-3</v>
      </c>
    </row>
    <row r="27" spans="1:5" ht="14.15" customHeight="1" x14ac:dyDescent="0.4">
      <c r="A27" s="44" t="s">
        <v>40</v>
      </c>
      <c r="B27" s="2">
        <v>4</v>
      </c>
      <c r="C27" s="3">
        <v>7780.8113428420565</v>
      </c>
      <c r="D27" s="2" t="s">
        <v>21</v>
      </c>
      <c r="E27" s="3">
        <v>1.012034245561802E-3</v>
      </c>
    </row>
    <row r="28" spans="1:5" ht="14.15" customHeight="1" x14ac:dyDescent="0.4">
      <c r="A28" s="44" t="s">
        <v>41</v>
      </c>
      <c r="B28" s="2">
        <v>1</v>
      </c>
      <c r="C28" s="3">
        <v>1605.3984095039671</v>
      </c>
      <c r="D28" s="2" t="s">
        <v>21</v>
      </c>
      <c r="E28" s="3">
        <v>2.088108934401962E-4</v>
      </c>
    </row>
    <row r="29" spans="1:5" ht="14.15" customHeight="1" x14ac:dyDescent="0.4">
      <c r="A29" s="44" t="s">
        <v>42</v>
      </c>
      <c r="B29" s="2">
        <v>85</v>
      </c>
      <c r="C29" s="3">
        <v>85952951.50779216</v>
      </c>
      <c r="D29" s="2" t="s">
        <v>1192</v>
      </c>
      <c r="E29" s="3">
        <v>11.179724915579969</v>
      </c>
    </row>
    <row r="30" spans="1:5" ht="14.15" customHeight="1" x14ac:dyDescent="0.4">
      <c r="A30" s="44" t="s">
        <v>43</v>
      </c>
      <c r="B30" s="2">
        <v>4</v>
      </c>
      <c r="C30" s="3">
        <v>5328.4710454128881</v>
      </c>
      <c r="D30" s="2" t="s">
        <v>10</v>
      </c>
      <c r="E30" s="3">
        <v>6.9306334992985587E-4</v>
      </c>
    </row>
    <row r="31" spans="1:5" ht="14.15" customHeight="1" x14ac:dyDescent="0.4">
      <c r="A31" s="44" t="s">
        <v>44</v>
      </c>
      <c r="B31" s="2">
        <v>6</v>
      </c>
      <c r="C31" s="3">
        <v>3598.4760955268948</v>
      </c>
      <c r="D31" s="2" t="s">
        <v>7</v>
      </c>
      <c r="E31" s="3">
        <v>4.6804643886642851E-4</v>
      </c>
    </row>
    <row r="32" spans="1:5" ht="14.15" customHeight="1" x14ac:dyDescent="0.4">
      <c r="A32" s="44" t="s">
        <v>45</v>
      </c>
      <c r="B32" s="2">
        <v>132</v>
      </c>
      <c r="C32" s="3">
        <v>31440.371425735961</v>
      </c>
      <c r="D32" s="2" t="s">
        <v>10</v>
      </c>
      <c r="E32" s="3">
        <v>4.0893849206739986E-3</v>
      </c>
    </row>
    <row r="33" spans="1:5" ht="14.15" customHeight="1" x14ac:dyDescent="0.4">
      <c r="A33" s="44" t="s">
        <v>46</v>
      </c>
      <c r="B33" s="2">
        <v>58</v>
      </c>
      <c r="C33" s="3">
        <v>3933993.9266273491</v>
      </c>
      <c r="D33" s="2" t="s">
        <v>1193</v>
      </c>
      <c r="E33" s="3">
        <v>0.51168655814301955</v>
      </c>
    </row>
    <row r="34" spans="1:5" ht="14.15" customHeight="1" x14ac:dyDescent="0.4">
      <c r="A34" s="44" t="s">
        <v>47</v>
      </c>
      <c r="B34" s="2">
        <v>715</v>
      </c>
      <c r="C34" s="3">
        <v>36955378.056729048</v>
      </c>
      <c r="D34" s="2" t="s">
        <v>1194</v>
      </c>
      <c r="E34" s="3">
        <v>4.8067105733772992</v>
      </c>
    </row>
    <row r="35" spans="1:5" ht="14.15" customHeight="1" x14ac:dyDescent="0.4">
      <c r="A35" s="44" t="s">
        <v>48</v>
      </c>
      <c r="B35" s="2">
        <v>7</v>
      </c>
      <c r="C35" s="3">
        <v>2059629.0976430511</v>
      </c>
      <c r="D35" s="2" t="s">
        <v>1195</v>
      </c>
      <c r="E35" s="3">
        <v>0.2678917516600467</v>
      </c>
    </row>
    <row r="36" spans="1:5" ht="14.15" customHeight="1" x14ac:dyDescent="0.4">
      <c r="A36" s="44" t="s">
        <v>49</v>
      </c>
      <c r="B36" s="2">
        <v>9</v>
      </c>
      <c r="C36" s="3">
        <v>52626.113679984497</v>
      </c>
      <c r="D36" s="2" t="s">
        <v>29</v>
      </c>
      <c r="E36" s="3">
        <v>6.8449711615188608E-3</v>
      </c>
    </row>
    <row r="37" spans="1:5" ht="14.15" customHeight="1" x14ac:dyDescent="0.4">
      <c r="A37" s="44" t="s">
        <v>50</v>
      </c>
      <c r="B37" s="2">
        <v>35</v>
      </c>
      <c r="C37" s="3">
        <v>2730894.415048433</v>
      </c>
      <c r="D37" s="2" t="s">
        <v>29</v>
      </c>
      <c r="E37" s="3">
        <v>0.35520186099679601</v>
      </c>
    </row>
    <row r="38" spans="1:5" ht="14.15" customHeight="1" x14ac:dyDescent="0.4">
      <c r="A38" s="44" t="s">
        <v>51</v>
      </c>
      <c r="B38" s="2">
        <v>1</v>
      </c>
      <c r="C38" s="3">
        <v>1168.863809308267</v>
      </c>
      <c r="D38" s="2" t="s">
        <v>37</v>
      </c>
      <c r="E38" s="3">
        <v>1.5203172924967791E-4</v>
      </c>
    </row>
    <row r="39" spans="1:5" ht="14.15" customHeight="1" x14ac:dyDescent="0.4">
      <c r="A39" s="44" t="s">
        <v>52</v>
      </c>
      <c r="B39" s="2">
        <v>21</v>
      </c>
      <c r="C39" s="3">
        <v>12756.48767349534</v>
      </c>
      <c r="D39" s="2" t="s">
        <v>37</v>
      </c>
      <c r="E39" s="3">
        <v>1.6592103072311101E-3</v>
      </c>
    </row>
    <row r="40" spans="1:5" ht="14.15" customHeight="1" x14ac:dyDescent="0.4">
      <c r="A40" s="44" t="s">
        <v>53</v>
      </c>
      <c r="B40" s="2">
        <v>2471</v>
      </c>
      <c r="C40" s="3">
        <v>306159.00346544298</v>
      </c>
      <c r="D40" s="2" t="s">
        <v>37</v>
      </c>
      <c r="E40" s="3">
        <v>3.9821476506963813E-2</v>
      </c>
    </row>
    <row r="41" spans="1:5" ht="14.15" customHeight="1" x14ac:dyDescent="0.4">
      <c r="A41" s="44" t="s">
        <v>54</v>
      </c>
      <c r="B41" s="2">
        <v>284</v>
      </c>
      <c r="C41" s="3">
        <v>157522.91555432201</v>
      </c>
      <c r="D41" s="2" t="s">
        <v>37</v>
      </c>
      <c r="E41" s="3">
        <v>2.048868401729988E-2</v>
      </c>
    </row>
    <row r="42" spans="1:5" ht="14.15" customHeight="1" x14ac:dyDescent="0.4">
      <c r="A42" s="44" t="s">
        <v>55</v>
      </c>
      <c r="B42" s="2">
        <v>10</v>
      </c>
      <c r="C42" s="3">
        <v>23661.286747638551</v>
      </c>
      <c r="D42" s="2" t="s">
        <v>21</v>
      </c>
      <c r="E42" s="3">
        <v>3.0775752588702641E-3</v>
      </c>
    </row>
    <row r="43" spans="1:5" ht="14.15" customHeight="1" x14ac:dyDescent="0.4">
      <c r="A43" s="44" t="s">
        <v>56</v>
      </c>
      <c r="B43" s="2">
        <v>25</v>
      </c>
      <c r="C43" s="3">
        <v>67330.849401359446</v>
      </c>
      <c r="D43" s="2" t="s">
        <v>57</v>
      </c>
      <c r="E43" s="3">
        <v>8.7575861146699553E-3</v>
      </c>
    </row>
    <row r="44" spans="1:5" ht="14.15" customHeight="1" x14ac:dyDescent="0.4">
      <c r="A44" s="44" t="s">
        <v>58</v>
      </c>
      <c r="B44" s="2">
        <v>573</v>
      </c>
      <c r="C44" s="3">
        <v>4893446.9203215819</v>
      </c>
      <c r="D44" s="2" t="s">
        <v>29</v>
      </c>
      <c r="E44" s="3">
        <v>0.63648065015228339</v>
      </c>
    </row>
    <row r="45" spans="1:5" ht="14.15" customHeight="1" x14ac:dyDescent="0.4">
      <c r="A45" s="44" t="s">
        <v>59</v>
      </c>
      <c r="B45" s="2">
        <v>1817</v>
      </c>
      <c r="C45" s="3">
        <v>11382313.73486655</v>
      </c>
      <c r="D45" s="2" t="s">
        <v>1196</v>
      </c>
      <c r="E45" s="3">
        <v>1.480474308634993</v>
      </c>
    </row>
    <row r="46" spans="1:5" ht="14.15" customHeight="1" x14ac:dyDescent="0.4">
      <c r="A46" s="44" t="s">
        <v>60</v>
      </c>
      <c r="B46" s="2">
        <v>3</v>
      </c>
      <c r="C46" s="3">
        <v>2306.9313689090641</v>
      </c>
      <c r="D46" s="2" t="s">
        <v>61</v>
      </c>
      <c r="E46" s="3">
        <v>3.0005785317549629E-4</v>
      </c>
    </row>
    <row r="47" spans="1:5" ht="14.15" customHeight="1" x14ac:dyDescent="0.4">
      <c r="A47" s="44" t="s">
        <v>62</v>
      </c>
      <c r="B47" s="2">
        <v>5</v>
      </c>
      <c r="C47" s="3">
        <v>192364.499493877</v>
      </c>
      <c r="D47" s="2" t="s">
        <v>63</v>
      </c>
      <c r="E47" s="3">
        <v>2.5020457705513491E-2</v>
      </c>
    </row>
    <row r="48" spans="1:5" ht="14.15" customHeight="1" x14ac:dyDescent="0.4">
      <c r="A48" s="44" t="s">
        <v>64</v>
      </c>
      <c r="B48" s="2">
        <v>1</v>
      </c>
      <c r="C48" s="3">
        <v>807.2502337369765</v>
      </c>
      <c r="D48" s="2" t="s">
        <v>21</v>
      </c>
      <c r="E48" s="3">
        <v>1.0499738976850461E-4</v>
      </c>
    </row>
    <row r="49" spans="1:8" ht="14.15" customHeight="1" x14ac:dyDescent="0.4">
      <c r="A49" s="44" t="s">
        <v>1170</v>
      </c>
      <c r="B49" s="2">
        <v>1</v>
      </c>
      <c r="C49" s="3">
        <v>1313.858231533334</v>
      </c>
      <c r="D49" s="2" t="s">
        <v>10</v>
      </c>
      <c r="E49" s="3">
        <v>1.7089085771861411E-4</v>
      </c>
    </row>
    <row r="50" spans="1:8" ht="14.15" customHeight="1" x14ac:dyDescent="0.4">
      <c r="A50" s="44" t="s">
        <v>65</v>
      </c>
      <c r="B50" s="2">
        <v>79</v>
      </c>
      <c r="C50" s="3">
        <v>2961035.4326798199</v>
      </c>
      <c r="D50" s="2" t="s">
        <v>1197</v>
      </c>
      <c r="E50" s="3">
        <v>0.38513583328950191</v>
      </c>
    </row>
    <row r="51" spans="1:8" ht="14.15" customHeight="1" x14ac:dyDescent="0.4">
      <c r="A51" s="44" t="s">
        <v>66</v>
      </c>
      <c r="B51" s="2">
        <v>23</v>
      </c>
      <c r="C51" s="3">
        <v>5117.3772762513081</v>
      </c>
      <c r="D51" s="2" t="s">
        <v>57</v>
      </c>
      <c r="E51" s="3">
        <v>6.6560681435753812E-4</v>
      </c>
    </row>
    <row r="52" spans="1:8" ht="14.15" customHeight="1" x14ac:dyDescent="0.4">
      <c r="A52" s="44" t="s">
        <v>67</v>
      </c>
      <c r="B52" s="2">
        <v>5</v>
      </c>
      <c r="C52" s="3">
        <v>134.87450245361021</v>
      </c>
      <c r="D52" s="2" t="s">
        <v>68</v>
      </c>
      <c r="E52" s="3">
        <v>1.7542851165737809E-5</v>
      </c>
    </row>
    <row r="53" spans="1:8" ht="14.15" customHeight="1" x14ac:dyDescent="0.4">
      <c r="A53" s="44" t="s">
        <v>69</v>
      </c>
      <c r="B53" s="2">
        <v>13</v>
      </c>
      <c r="C53" s="3">
        <v>1640.114818612818</v>
      </c>
      <c r="D53" s="2" t="s">
        <v>35</v>
      </c>
      <c r="E53" s="3">
        <v>2.1332638589374519E-4</v>
      </c>
    </row>
    <row r="54" spans="1:8" ht="14.15" customHeight="1" x14ac:dyDescent="0.4">
      <c r="A54" s="44" t="s">
        <v>70</v>
      </c>
      <c r="B54" s="2">
        <v>59</v>
      </c>
      <c r="C54" s="3">
        <v>23626.646017365081</v>
      </c>
      <c r="D54" s="2" t="s">
        <v>37</v>
      </c>
      <c r="E54" s="3">
        <v>3.0730696098083231E-3</v>
      </c>
    </row>
    <row r="55" spans="1:8" ht="14.15" customHeight="1" x14ac:dyDescent="0.4">
      <c r="A55" s="44" t="s">
        <v>71</v>
      </c>
      <c r="B55" s="2">
        <v>22</v>
      </c>
      <c r="C55" s="3">
        <v>21551.502349303038</v>
      </c>
      <c r="D55" s="2" t="s">
        <v>10</v>
      </c>
      <c r="E55" s="3">
        <v>2.8031599096494169E-3</v>
      </c>
    </row>
    <row r="56" spans="1:8" ht="14.15" customHeight="1" x14ac:dyDescent="0.4">
      <c r="A56" s="44" t="s">
        <v>72</v>
      </c>
      <c r="B56" s="2">
        <v>154</v>
      </c>
      <c r="C56" s="3">
        <v>6631928.8854858279</v>
      </c>
      <c r="D56" s="2" t="s">
        <v>73</v>
      </c>
      <c r="E56" s="3">
        <v>0.8626014499653204</v>
      </c>
    </row>
    <row r="57" spans="1:8" ht="14.15" customHeight="1" x14ac:dyDescent="0.4">
      <c r="A57" s="44" t="s">
        <v>74</v>
      </c>
      <c r="B57" s="2">
        <v>222</v>
      </c>
      <c r="C57" s="3">
        <v>10749.675844434079</v>
      </c>
      <c r="D57" s="2" t="s">
        <v>10</v>
      </c>
      <c r="E57" s="3">
        <v>1.398188389860386E-3</v>
      </c>
      <c r="H57" s="34"/>
    </row>
    <row r="58" spans="1:8" ht="14.15" customHeight="1" x14ac:dyDescent="0.4">
      <c r="A58" s="44" t="s">
        <v>75</v>
      </c>
      <c r="B58" s="2">
        <v>16</v>
      </c>
      <c r="C58" s="3">
        <v>111.5166059037026</v>
      </c>
      <c r="D58" s="2" t="s">
        <v>37</v>
      </c>
      <c r="E58" s="3">
        <v>1.4504737250465591E-5</v>
      </c>
    </row>
    <row r="59" spans="1:8" ht="14.15" customHeight="1" x14ac:dyDescent="0.4">
      <c r="A59" s="44" t="s">
        <v>76</v>
      </c>
      <c r="B59" s="2">
        <v>2</v>
      </c>
      <c r="C59" s="3">
        <v>17163.119257865412</v>
      </c>
      <c r="D59" s="2" t="s">
        <v>37</v>
      </c>
      <c r="E59" s="3">
        <v>2.23237188054948E-3</v>
      </c>
    </row>
    <row r="60" spans="1:8" ht="14.15" customHeight="1" x14ac:dyDescent="0.4">
      <c r="A60" s="44" t="s">
        <v>77</v>
      </c>
      <c r="B60" s="2">
        <v>42</v>
      </c>
      <c r="C60" s="3">
        <v>223358.17850278661</v>
      </c>
      <c r="D60" s="2" t="s">
        <v>29</v>
      </c>
      <c r="E60" s="3">
        <v>2.9051742255526682E-2</v>
      </c>
    </row>
    <row r="61" spans="1:8" ht="14.15" customHeight="1" x14ac:dyDescent="0.4">
      <c r="A61" s="44" t="s">
        <v>78</v>
      </c>
      <c r="B61" s="2">
        <v>28</v>
      </c>
      <c r="C61" s="3">
        <v>73003.262476144941</v>
      </c>
      <c r="D61" s="2" t="s">
        <v>10</v>
      </c>
      <c r="E61" s="3">
        <v>9.4953853021462788E-3</v>
      </c>
    </row>
    <row r="62" spans="1:8" ht="14.15" customHeight="1" x14ac:dyDescent="0.4">
      <c r="A62" s="44" t="s">
        <v>79</v>
      </c>
      <c r="B62" s="2">
        <v>1</v>
      </c>
      <c r="C62" s="3">
        <v>56031.819159711711</v>
      </c>
      <c r="D62" s="2" t="s">
        <v>29</v>
      </c>
      <c r="E62" s="3">
        <v>7.2879443199610318E-3</v>
      </c>
    </row>
    <row r="63" spans="1:8" ht="14.15" customHeight="1" x14ac:dyDescent="0.4">
      <c r="A63" s="44" t="s">
        <v>80</v>
      </c>
      <c r="B63" s="2">
        <v>127</v>
      </c>
      <c r="C63" s="3">
        <v>698277.88637821551</v>
      </c>
      <c r="D63" s="2" t="s">
        <v>10</v>
      </c>
      <c r="E63" s="3">
        <v>9.0823579032458704E-2</v>
      </c>
    </row>
    <row r="64" spans="1:8" ht="14.15" customHeight="1" x14ac:dyDescent="0.4">
      <c r="A64" s="44" t="s">
        <v>81</v>
      </c>
      <c r="B64" s="2">
        <v>26</v>
      </c>
      <c r="C64" s="3">
        <v>153221.38924347149</v>
      </c>
      <c r="D64" s="2" t="s">
        <v>37</v>
      </c>
      <c r="E64" s="3">
        <v>1.9929193272318551E-2</v>
      </c>
    </row>
    <row r="65" spans="1:5" ht="14.15" customHeight="1" x14ac:dyDescent="0.4">
      <c r="A65" s="44" t="s">
        <v>82</v>
      </c>
      <c r="B65" s="2">
        <v>66</v>
      </c>
      <c r="C65" s="3">
        <v>48949.520422980233</v>
      </c>
      <c r="D65" s="2" t="s">
        <v>83</v>
      </c>
      <c r="E65" s="3">
        <v>6.3667641829480591E-3</v>
      </c>
    </row>
    <row r="66" spans="1:5" ht="14.15" customHeight="1" x14ac:dyDescent="0.4">
      <c r="A66" s="44" t="s">
        <v>84</v>
      </c>
      <c r="B66" s="2">
        <v>3</v>
      </c>
      <c r="C66" s="3">
        <v>200674.0161608466</v>
      </c>
      <c r="D66" s="2" t="s">
        <v>37</v>
      </c>
      <c r="E66" s="3">
        <v>2.6101259573145991E-2</v>
      </c>
    </row>
    <row r="67" spans="1:5" ht="14.15" customHeight="1" x14ac:dyDescent="0.4">
      <c r="A67" s="44" t="s">
        <v>85</v>
      </c>
      <c r="B67" s="2">
        <v>14</v>
      </c>
      <c r="C67" s="3">
        <v>1850081.824933907</v>
      </c>
      <c r="D67" s="2" t="s">
        <v>35</v>
      </c>
      <c r="E67" s="3">
        <v>0.24063636572387129</v>
      </c>
    </row>
    <row r="68" spans="1:5" x14ac:dyDescent="0.4">
      <c r="A68" s="44" t="s">
        <v>86</v>
      </c>
      <c r="B68" s="2">
        <v>13</v>
      </c>
      <c r="C68" s="3">
        <v>28907.40645116895</v>
      </c>
      <c r="D68" s="2" t="s">
        <v>87</v>
      </c>
      <c r="E68" s="3">
        <v>3.7599273378952258E-3</v>
      </c>
    </row>
    <row r="69" spans="1:5" x14ac:dyDescent="0.4">
      <c r="A69" s="47" t="s">
        <v>88</v>
      </c>
      <c r="B69" s="48">
        <f>SUM(B3:B68)</f>
        <v>14446</v>
      </c>
      <c r="C69" s="48">
        <f>SUM(C3:C68)</f>
        <v>173534125.11341807</v>
      </c>
      <c r="D69" s="49" t="s">
        <v>89</v>
      </c>
      <c r="E69" s="50">
        <f>SUM(E3:E68)</f>
        <v>22.565941171330696</v>
      </c>
    </row>
    <row r="70" spans="1:5" x14ac:dyDescent="0.4">
      <c r="A70" s="31" t="s">
        <v>90</v>
      </c>
      <c r="B70" s="32">
        <v>768828858.655707</v>
      </c>
      <c r="C70" s="33"/>
      <c r="D70" s="33"/>
      <c r="E70" s="33"/>
    </row>
    <row r="71" spans="1:5" x14ac:dyDescent="0.4">
      <c r="A71" s="2"/>
      <c r="B71" s="2"/>
      <c r="C71" s="2"/>
      <c r="D71" s="2"/>
      <c r="E71" s="2"/>
    </row>
    <row r="72" spans="1:5" ht="15" x14ac:dyDescent="0.4">
      <c r="A72" s="6" t="s">
        <v>1178</v>
      </c>
      <c r="B72" s="23">
        <v>14575</v>
      </c>
      <c r="C72" s="23">
        <f>C103 + C69</f>
        <v>176881603.33968356</v>
      </c>
      <c r="D72" s="7"/>
      <c r="E72" s="7"/>
    </row>
    <row r="73" spans="1:5" x14ac:dyDescent="0.4">
      <c r="A73" s="52"/>
      <c r="B73" s="52"/>
      <c r="C73" s="52"/>
      <c r="D73" s="52"/>
      <c r="E73" s="52"/>
    </row>
    <row r="74" spans="1:5" ht="32.15" customHeight="1" x14ac:dyDescent="0.4">
      <c r="A74" s="53" t="s">
        <v>91</v>
      </c>
      <c r="B74" s="54" t="s">
        <v>92</v>
      </c>
      <c r="C74" s="54" t="s">
        <v>93</v>
      </c>
      <c r="D74" s="46" t="s">
        <v>4</v>
      </c>
      <c r="E74" s="46" t="s">
        <v>5</v>
      </c>
    </row>
    <row r="75" spans="1:5" ht="14.15" customHeight="1" x14ac:dyDescent="0.4">
      <c r="A75" s="44" t="s">
        <v>13</v>
      </c>
      <c r="B75" s="2">
        <v>1</v>
      </c>
      <c r="C75" s="3">
        <v>2133.1002763550691</v>
      </c>
      <c r="D75" s="2" t="s">
        <v>12</v>
      </c>
      <c r="E75" s="3">
        <v>0</v>
      </c>
    </row>
    <row r="76" spans="1:5" ht="14.15" customHeight="1" x14ac:dyDescent="0.4">
      <c r="A76" s="44" t="s">
        <v>14</v>
      </c>
      <c r="B76" s="2">
        <v>38</v>
      </c>
      <c r="C76" s="3">
        <v>92.385879872219832</v>
      </c>
      <c r="D76" s="2" t="s">
        <v>10</v>
      </c>
      <c r="E76" s="3">
        <v>1.2016442774063429E-5</v>
      </c>
    </row>
    <row r="77" spans="1:5" ht="14.15" customHeight="1" x14ac:dyDescent="0.4">
      <c r="A77" s="44" t="s">
        <v>22</v>
      </c>
      <c r="B77" s="2">
        <v>145</v>
      </c>
      <c r="C77" s="3">
        <v>69754.913340386702</v>
      </c>
      <c r="D77" s="2" t="s">
        <v>10</v>
      </c>
      <c r="E77" s="3">
        <v>9.072879162095383E-3</v>
      </c>
    </row>
    <row r="78" spans="1:5" ht="14.15" customHeight="1" x14ac:dyDescent="0.4">
      <c r="A78" s="44" t="s">
        <v>25</v>
      </c>
      <c r="B78" s="2">
        <v>262</v>
      </c>
      <c r="C78" s="3">
        <v>1103.1219925892369</v>
      </c>
      <c r="D78" s="2" t="s">
        <v>94</v>
      </c>
      <c r="E78" s="3">
        <v>1.4348082537172781E-4</v>
      </c>
    </row>
    <row r="79" spans="1:5" ht="14.15" customHeight="1" x14ac:dyDescent="0.4">
      <c r="A79" s="44" t="s">
        <v>26</v>
      </c>
      <c r="B79" s="2">
        <v>33</v>
      </c>
      <c r="C79" s="3">
        <v>924.64810564366371</v>
      </c>
      <c r="D79" s="2" t="s">
        <v>95</v>
      </c>
      <c r="E79" s="3">
        <v>1.202670912804099E-4</v>
      </c>
    </row>
    <row r="80" spans="1:5" ht="14.15" customHeight="1" x14ac:dyDescent="0.4">
      <c r="A80" s="44" t="s">
        <v>27</v>
      </c>
      <c r="B80" s="2">
        <v>12</v>
      </c>
      <c r="C80" s="3">
        <v>15670.116616593799</v>
      </c>
      <c r="D80" s="2" t="s">
        <v>96</v>
      </c>
      <c r="E80" s="3">
        <v>2.0381800752088831E-3</v>
      </c>
    </row>
    <row r="81" spans="1:5" ht="14.15" customHeight="1" x14ac:dyDescent="0.4">
      <c r="A81" s="44" t="s">
        <v>28</v>
      </c>
      <c r="B81" s="2">
        <v>1</v>
      </c>
      <c r="C81" s="3">
        <v>850.76863106349094</v>
      </c>
      <c r="D81" s="2" t="s">
        <v>29</v>
      </c>
      <c r="E81" s="3">
        <v>1.1065773885882329E-4</v>
      </c>
    </row>
    <row r="82" spans="1:5" ht="14.15" customHeight="1" x14ac:dyDescent="0.4">
      <c r="A82" s="44" t="s">
        <v>30</v>
      </c>
      <c r="B82" s="2">
        <v>18</v>
      </c>
      <c r="C82" s="3">
        <v>26.276751719062808</v>
      </c>
      <c r="D82" s="2" t="s">
        <v>10</v>
      </c>
      <c r="E82" s="3">
        <v>3.4177634478029929E-6</v>
      </c>
    </row>
    <row r="83" spans="1:5" ht="14.15" customHeight="1" x14ac:dyDescent="0.4">
      <c r="A83" s="44" t="s">
        <v>31</v>
      </c>
      <c r="B83" s="2">
        <v>11</v>
      </c>
      <c r="C83" s="3">
        <v>3296.1286308689232</v>
      </c>
      <c r="D83" s="2" t="s">
        <v>32</v>
      </c>
      <c r="E83" s="3">
        <v>4.2872072143027132E-4</v>
      </c>
    </row>
    <row r="84" spans="1:5" ht="14.15" customHeight="1" x14ac:dyDescent="0.4">
      <c r="A84" s="44" t="s">
        <v>33</v>
      </c>
      <c r="B84" s="2">
        <v>1</v>
      </c>
      <c r="C84" s="3">
        <v>63.596040297597547</v>
      </c>
      <c r="D84" s="2" t="s">
        <v>35</v>
      </c>
      <c r="E84" s="3">
        <v>8.2718071197685802E-6</v>
      </c>
    </row>
    <row r="85" spans="1:5" ht="14.15" customHeight="1" x14ac:dyDescent="0.4">
      <c r="A85" s="44" t="s">
        <v>34</v>
      </c>
      <c r="B85" s="2">
        <v>56</v>
      </c>
      <c r="C85" s="3">
        <v>13730.706278316349</v>
      </c>
      <c r="D85" s="2" t="s">
        <v>35</v>
      </c>
      <c r="E85" s="3">
        <v>1.785924932133218E-3</v>
      </c>
    </row>
    <row r="86" spans="1:5" ht="14.15" customHeight="1" x14ac:dyDescent="0.4">
      <c r="A86" s="44" t="s">
        <v>36</v>
      </c>
      <c r="B86" s="2">
        <v>18</v>
      </c>
      <c r="C86" s="3">
        <v>105969.3904656097</v>
      </c>
      <c r="D86" s="2" t="s">
        <v>37</v>
      </c>
      <c r="E86" s="3">
        <v>1.3783222263982381E-2</v>
      </c>
    </row>
    <row r="87" spans="1:5" ht="14.15" customHeight="1" x14ac:dyDescent="0.4">
      <c r="A87" s="44" t="s">
        <v>42</v>
      </c>
      <c r="B87" s="2">
        <v>35</v>
      </c>
      <c r="C87" s="3">
        <v>1871792.817409775</v>
      </c>
      <c r="D87" s="2" t="s">
        <v>97</v>
      </c>
      <c r="E87" s="3">
        <v>0.24346027018865779</v>
      </c>
    </row>
    <row r="88" spans="1:5" ht="14.15" customHeight="1" x14ac:dyDescent="0.4">
      <c r="A88" s="44" t="s">
        <v>45</v>
      </c>
      <c r="B88" s="2">
        <v>15</v>
      </c>
      <c r="C88" s="3">
        <v>23680.542288795172</v>
      </c>
      <c r="D88" s="2" t="s">
        <v>10</v>
      </c>
      <c r="E88" s="3">
        <v>3.0800797877951619E-3</v>
      </c>
    </row>
    <row r="89" spans="1:5" ht="14.15" customHeight="1" x14ac:dyDescent="0.4">
      <c r="A89" s="44" t="s">
        <v>47</v>
      </c>
      <c r="B89" s="2">
        <v>8</v>
      </c>
      <c r="C89" s="3">
        <v>2836.4131256918531</v>
      </c>
      <c r="D89" s="2" t="s">
        <v>1198</v>
      </c>
      <c r="E89" s="3">
        <v>3.6892646425644302E-4</v>
      </c>
    </row>
    <row r="90" spans="1:5" ht="14.15" customHeight="1" x14ac:dyDescent="0.4">
      <c r="A90" s="44" t="s">
        <v>52</v>
      </c>
      <c r="B90" s="2">
        <v>20</v>
      </c>
      <c r="C90" s="3">
        <v>138611.10320631889</v>
      </c>
      <c r="D90" s="2" t="s">
        <v>37</v>
      </c>
      <c r="E90" s="3">
        <v>1.802886319675974E-2</v>
      </c>
    </row>
    <row r="91" spans="1:5" ht="14.15" customHeight="1" x14ac:dyDescent="0.4">
      <c r="A91" s="44" t="s">
        <v>53</v>
      </c>
      <c r="B91" s="2">
        <v>43</v>
      </c>
      <c r="C91" s="3">
        <v>2202.051551782155</v>
      </c>
      <c r="D91" s="2" t="s">
        <v>37</v>
      </c>
      <c r="E91" s="3">
        <v>2.8641634949113618E-4</v>
      </c>
    </row>
    <row r="92" spans="1:5" ht="14.15" customHeight="1" x14ac:dyDescent="0.4">
      <c r="A92" s="44" t="s">
        <v>58</v>
      </c>
      <c r="B92" s="2">
        <v>21</v>
      </c>
      <c r="C92" s="3">
        <v>44173.492792572353</v>
      </c>
      <c r="D92" s="2" t="s">
        <v>29</v>
      </c>
      <c r="E92" s="3">
        <v>5.7455560201041238E-3</v>
      </c>
    </row>
    <row r="93" spans="1:5" ht="14.15" customHeight="1" x14ac:dyDescent="0.4">
      <c r="A93" s="44" t="s">
        <v>59</v>
      </c>
      <c r="B93" s="2">
        <v>5</v>
      </c>
      <c r="C93" s="3">
        <v>64.319267763725975</v>
      </c>
      <c r="D93" s="2" t="s">
        <v>98</v>
      </c>
      <c r="E93" s="3">
        <v>8.3658758397004936E-6</v>
      </c>
    </row>
    <row r="94" spans="1:5" ht="14.15" customHeight="1" x14ac:dyDescent="0.4">
      <c r="A94" s="44" t="s">
        <v>65</v>
      </c>
      <c r="B94" s="2">
        <v>13</v>
      </c>
      <c r="C94" s="3">
        <v>1485.9750567605411</v>
      </c>
      <c r="D94" s="2" t="s">
        <v>1199</v>
      </c>
      <c r="E94" s="3">
        <v>1.9327774177120739E-4</v>
      </c>
    </row>
    <row r="95" spans="1:5" ht="14.15" customHeight="1" x14ac:dyDescent="0.4">
      <c r="A95" s="44" t="s">
        <v>70</v>
      </c>
      <c r="B95" s="2">
        <v>103</v>
      </c>
      <c r="C95" s="3">
        <v>89001.168790755735</v>
      </c>
      <c r="D95" s="2" t="s">
        <v>37</v>
      </c>
      <c r="E95" s="3">
        <v>1.1576200314139839E-2</v>
      </c>
    </row>
    <row r="96" spans="1:5" ht="14.15" customHeight="1" x14ac:dyDescent="0.4">
      <c r="A96" s="44" t="s">
        <v>74</v>
      </c>
      <c r="B96" s="2">
        <v>16</v>
      </c>
      <c r="C96" s="3">
        <v>728.65553385959004</v>
      </c>
      <c r="D96" s="2" t="s">
        <v>10</v>
      </c>
      <c r="E96" s="3">
        <v>9.4774737619414737E-5</v>
      </c>
    </row>
    <row r="97" spans="1:5" ht="14.15" customHeight="1" x14ac:dyDescent="0.4">
      <c r="A97" s="44" t="s">
        <v>75</v>
      </c>
      <c r="B97" s="2">
        <v>22</v>
      </c>
      <c r="C97" s="3">
        <v>280795.55785813642</v>
      </c>
      <c r="D97" s="2" t="s">
        <v>37</v>
      </c>
      <c r="E97" s="3">
        <v>3.6522504920452843E-2</v>
      </c>
    </row>
    <row r="98" spans="1:5" ht="14.15" customHeight="1" x14ac:dyDescent="0.4">
      <c r="A98" s="44" t="s">
        <v>76</v>
      </c>
      <c r="B98" s="2">
        <v>2</v>
      </c>
      <c r="C98" s="3">
        <v>4919.5915497018068</v>
      </c>
      <c r="D98" s="2" t="s">
        <v>37</v>
      </c>
      <c r="E98" s="3">
        <v>6.3988122871722313E-4</v>
      </c>
    </row>
    <row r="99" spans="1:5" ht="14.15" customHeight="1" x14ac:dyDescent="0.4">
      <c r="A99" s="44" t="s">
        <v>77</v>
      </c>
      <c r="B99" s="2">
        <v>1</v>
      </c>
      <c r="C99" s="3">
        <v>90.315884216513993</v>
      </c>
      <c r="D99" s="2" t="s">
        <v>29</v>
      </c>
      <c r="E99" s="3">
        <v>1.1747202665361191E-5</v>
      </c>
    </row>
    <row r="100" spans="1:5" ht="14.15" customHeight="1" x14ac:dyDescent="0.4">
      <c r="A100" s="44" t="s">
        <v>78</v>
      </c>
      <c r="B100" s="2">
        <v>12</v>
      </c>
      <c r="C100" s="3">
        <v>27339.95342839861</v>
      </c>
      <c r="D100" s="2" t="s">
        <v>10</v>
      </c>
      <c r="E100" s="3">
        <v>3.5560519234357482E-3</v>
      </c>
    </row>
    <row r="101" spans="1:5" ht="14.15" customHeight="1" x14ac:dyDescent="0.4">
      <c r="A101" s="44" t="s">
        <v>81</v>
      </c>
      <c r="B101" s="2">
        <v>10</v>
      </c>
      <c r="C101" s="3">
        <v>4822.87336328535</v>
      </c>
      <c r="D101" s="2" t="s">
        <v>37</v>
      </c>
      <c r="E101" s="3">
        <v>6.2730129167606462E-4</v>
      </c>
    </row>
    <row r="102" spans="1:5" ht="14.15" customHeight="1" x14ac:dyDescent="0.4">
      <c r="A102" s="44" t="s">
        <v>86</v>
      </c>
      <c r="B102" s="2">
        <v>20</v>
      </c>
      <c r="C102" s="3">
        <v>641318.24214834895</v>
      </c>
      <c r="D102" s="2" t="s">
        <v>87</v>
      </c>
      <c r="E102" s="3">
        <v>8.3414954399929589E-2</v>
      </c>
    </row>
    <row r="103" spans="1:5" ht="14.15" customHeight="1" thickBot="1" x14ac:dyDescent="0.45">
      <c r="A103" s="51" t="s">
        <v>99</v>
      </c>
      <c r="B103" s="40">
        <f>SUM(B75:B102)</f>
        <v>942</v>
      </c>
      <c r="C103" s="40">
        <f>SUM(C75:C102)</f>
        <v>3347478.2262654789</v>
      </c>
      <c r="D103" s="4" t="s">
        <v>89</v>
      </c>
      <c r="E103" s="40">
        <f>SUM(E75:E102)</f>
        <v>0.43512221046701405</v>
      </c>
    </row>
    <row r="106" spans="1:5" s="37" customFormat="1" ht="26.15" customHeight="1" x14ac:dyDescent="0.4">
      <c r="A106" s="74" t="s">
        <v>1173</v>
      </c>
      <c r="B106" s="74"/>
      <c r="C106" s="74"/>
      <c r="D106" s="74"/>
      <c r="E106" s="74"/>
    </row>
    <row r="107" spans="1:5" s="37" customFormat="1" ht="19" customHeight="1" x14ac:dyDescent="0.4">
      <c r="A107" s="74" t="s">
        <v>1176</v>
      </c>
      <c r="B107" s="74"/>
      <c r="C107" s="74"/>
      <c r="D107" s="74"/>
      <c r="E107" s="74"/>
    </row>
    <row r="108" spans="1:5" s="37" customFormat="1" ht="19.95" customHeight="1" x14ac:dyDescent="0.4">
      <c r="A108" s="74" t="s">
        <v>1177</v>
      </c>
      <c r="B108" s="74"/>
      <c r="C108" s="74"/>
      <c r="D108" s="74"/>
      <c r="E108" s="74"/>
    </row>
    <row r="109" spans="1:5" s="37" customFormat="1" ht="26.15" customHeight="1" x14ac:dyDescent="0.4">
      <c r="A109" s="74" t="s">
        <v>1172</v>
      </c>
      <c r="B109" s="74"/>
      <c r="C109" s="74"/>
      <c r="D109" s="74"/>
      <c r="E109" s="74"/>
    </row>
    <row r="110" spans="1:5" s="37" customFormat="1" ht="26.15" customHeight="1" x14ac:dyDescent="0.4">
      <c r="A110" s="74" t="s">
        <v>1175</v>
      </c>
      <c r="B110" s="74"/>
      <c r="C110" s="74"/>
      <c r="D110" s="74"/>
      <c r="E110" s="74"/>
    </row>
    <row r="111" spans="1:5" s="37" customFormat="1" x14ac:dyDescent="0.4">
      <c r="A111" s="36"/>
      <c r="B111" s="38"/>
      <c r="C111" s="38"/>
      <c r="D111" s="38"/>
      <c r="E111" s="38"/>
    </row>
    <row r="112" spans="1:5" s="37" customFormat="1" ht="26.15" customHeight="1" x14ac:dyDescent="0.4">
      <c r="A112" s="74" t="s">
        <v>1205</v>
      </c>
      <c r="B112" s="74"/>
      <c r="C112" s="74"/>
      <c r="D112" s="74"/>
      <c r="E112" s="74"/>
    </row>
    <row r="113" spans="1:5" s="37" customFormat="1" ht="26.15" customHeight="1" x14ac:dyDescent="0.4">
      <c r="A113" s="74" t="s">
        <v>1174</v>
      </c>
      <c r="B113" s="74"/>
      <c r="C113" s="74"/>
      <c r="D113" s="74"/>
      <c r="E113" s="74"/>
    </row>
    <row r="114" spans="1:5" s="37" customFormat="1" x14ac:dyDescent="0.4"/>
  </sheetData>
  <mergeCells count="8">
    <mergeCell ref="A112:E112"/>
    <mergeCell ref="A113:E113"/>
    <mergeCell ref="A108:E108"/>
    <mergeCell ref="A110:E110"/>
    <mergeCell ref="A1:E1"/>
    <mergeCell ref="A106:E106"/>
    <mergeCell ref="A107:E107"/>
    <mergeCell ref="A109:E109"/>
  </mergeCells>
  <pageMargins left="0.7" right="0.7" top="0.75" bottom="0.75" header="0.3" footer="0.3"/>
  <headerFooter>
    <oddHeader>&amp;C&amp;"Calibri"&amp;12&amp;KFF0000 OFFICIAL&amp;1#_x000D_</oddHeader>
    <oddFooter>&amp;C_x000D_&amp;1#&amp;"Calibri"&amp;12&amp;KFF0000 OFFICIAL</oddFooter>
  </headerFooter>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workbookViewId="0">
      <selection activeCell="A23" sqref="A23:E23"/>
    </sheetView>
  </sheetViews>
  <sheetFormatPr defaultRowHeight="14.6" x14ac:dyDescent="0.4"/>
  <cols>
    <col min="1" max="1" width="35.84375" customWidth="1"/>
    <col min="2" max="2" width="20.69140625" customWidth="1"/>
    <col min="3" max="3" width="10.69140625" customWidth="1"/>
    <col min="4" max="4" width="20.69140625" customWidth="1"/>
    <col min="5" max="5" width="25.3046875" customWidth="1"/>
    <col min="6" max="6" width="22" customWidth="1"/>
    <col min="8" max="8" width="12.84375" bestFit="1" customWidth="1"/>
  </cols>
  <sheetData>
    <row r="1" spans="1:8" s="21" customFormat="1" ht="23.15" customHeight="1" thickBot="1" x14ac:dyDescent="0.45">
      <c r="A1" s="75" t="s">
        <v>100</v>
      </c>
      <c r="B1" s="75"/>
      <c r="C1" s="75"/>
      <c r="D1" s="75"/>
      <c r="E1" s="75"/>
      <c r="F1" s="75"/>
    </row>
    <row r="2" spans="1:8" s="21" customFormat="1" ht="23.15" customHeight="1" x14ac:dyDescent="0.4">
      <c r="A2" s="45" t="s">
        <v>101</v>
      </c>
      <c r="B2" s="46" t="s">
        <v>102</v>
      </c>
      <c r="C2" s="46" t="s">
        <v>2</v>
      </c>
      <c r="D2" s="46" t="s">
        <v>103</v>
      </c>
      <c r="E2" s="46" t="s">
        <v>104</v>
      </c>
      <c r="F2" s="59" t="s">
        <v>105</v>
      </c>
    </row>
    <row r="3" spans="1:8" ht="14.15" customHeight="1" x14ac:dyDescent="0.4">
      <c r="A3" s="44" t="s">
        <v>106</v>
      </c>
      <c r="B3" s="8">
        <v>235814.8530815978</v>
      </c>
      <c r="C3" s="8">
        <v>51</v>
      </c>
      <c r="D3" s="8">
        <v>131902.36786778361</v>
      </c>
      <c r="E3" s="41">
        <f>D3/B3*100</f>
        <v>55.934715792538356</v>
      </c>
      <c r="F3" s="58">
        <v>7.6009467244148254E-2</v>
      </c>
      <c r="H3" s="57"/>
    </row>
    <row r="4" spans="1:8" x14ac:dyDescent="0.4">
      <c r="A4" s="44" t="s">
        <v>12</v>
      </c>
      <c r="B4" s="8">
        <v>0</v>
      </c>
      <c r="C4" s="8">
        <v>5</v>
      </c>
      <c r="D4" s="8">
        <v>9680.9110218797723</v>
      </c>
      <c r="E4" s="8">
        <v>0</v>
      </c>
      <c r="F4" s="58">
        <v>2.900765091180801E-2</v>
      </c>
      <c r="H4" s="57"/>
    </row>
    <row r="5" spans="1:8" x14ac:dyDescent="0.4">
      <c r="A5" s="44" t="s">
        <v>1165</v>
      </c>
      <c r="B5" s="8">
        <v>6657.1275457551392</v>
      </c>
      <c r="C5" s="8">
        <v>2</v>
      </c>
      <c r="D5" s="8">
        <v>5597.4898136712491</v>
      </c>
      <c r="E5" s="42">
        <f t="shared" ref="E5:E12" si="0">D5/B5*100</f>
        <v>84.082658401827388</v>
      </c>
      <c r="F5" s="58">
        <v>3.225584514439106E-3</v>
      </c>
      <c r="H5" s="57"/>
    </row>
    <row r="6" spans="1:8" x14ac:dyDescent="0.4">
      <c r="A6" s="44" t="s">
        <v>10</v>
      </c>
      <c r="B6" s="8">
        <v>80115006.5110192</v>
      </c>
      <c r="C6" s="8">
        <v>2657</v>
      </c>
      <c r="D6" s="8">
        <v>8365055.8196557136</v>
      </c>
      <c r="E6" s="42">
        <f t="shared" si="0"/>
        <v>10.441309542307987</v>
      </c>
      <c r="F6" s="58">
        <v>4.8204097747802734</v>
      </c>
      <c r="H6" s="57"/>
    </row>
    <row r="7" spans="1:8" x14ac:dyDescent="0.4">
      <c r="A7" s="44" t="s">
        <v>21</v>
      </c>
      <c r="B7" s="8">
        <v>134779162.69050989</v>
      </c>
      <c r="C7" s="8">
        <v>84</v>
      </c>
      <c r="D7" s="8">
        <v>33208737.997514822</v>
      </c>
      <c r="E7" s="42">
        <f t="shared" si="0"/>
        <v>24.639371053054575</v>
      </c>
      <c r="F7" s="58">
        <v>19.13671875</v>
      </c>
      <c r="H7" s="57"/>
    </row>
    <row r="8" spans="1:8" x14ac:dyDescent="0.4">
      <c r="A8" s="44" t="s">
        <v>29</v>
      </c>
      <c r="B8" s="8">
        <v>172974215.2563473</v>
      </c>
      <c r="C8" s="8">
        <v>1230</v>
      </c>
      <c r="D8" s="8">
        <v>16183152.68197991</v>
      </c>
      <c r="E8" s="42">
        <f t="shared" si="0"/>
        <v>9.3558179512458111</v>
      </c>
      <c r="F8" s="58">
        <v>9.3256311416625977</v>
      </c>
      <c r="H8" s="57"/>
    </row>
    <row r="9" spans="1:8" x14ac:dyDescent="0.4">
      <c r="A9" s="44" t="s">
        <v>35</v>
      </c>
      <c r="B9" s="8">
        <v>98432191.357677758</v>
      </c>
      <c r="C9" s="8">
        <v>2085</v>
      </c>
      <c r="D9" s="8">
        <v>29963518.484946579</v>
      </c>
      <c r="E9" s="42">
        <f t="shared" si="0"/>
        <v>30.440771531811894</v>
      </c>
      <c r="F9" s="58">
        <v>17.266643524169918</v>
      </c>
      <c r="G9" s="29"/>
      <c r="H9" s="57"/>
    </row>
    <row r="10" spans="1:8" x14ac:dyDescent="0.4">
      <c r="A10" s="44" t="s">
        <v>57</v>
      </c>
      <c r="B10" s="8">
        <v>6840139.3646279294</v>
      </c>
      <c r="C10" s="8">
        <v>1721</v>
      </c>
      <c r="D10" s="8">
        <v>2928054.7752682031</v>
      </c>
      <c r="E10" s="42">
        <f t="shared" si="0"/>
        <v>42.806946162674791</v>
      </c>
      <c r="F10" s="58">
        <v>1.687307715415955</v>
      </c>
      <c r="H10" s="57"/>
    </row>
    <row r="11" spans="1:8" x14ac:dyDescent="0.4">
      <c r="A11" s="44" t="s">
        <v>37</v>
      </c>
      <c r="B11" s="8">
        <v>22744373.104050372</v>
      </c>
      <c r="C11" s="8">
        <v>4709</v>
      </c>
      <c r="D11" s="8">
        <v>4023548.4218729199</v>
      </c>
      <c r="E11" s="42">
        <f t="shared" si="0"/>
        <v>17.690302579306515</v>
      </c>
      <c r="F11" s="58">
        <v>2.3185920715332031</v>
      </c>
      <c r="H11" s="57"/>
    </row>
    <row r="12" spans="1:8" x14ac:dyDescent="0.4">
      <c r="A12" s="44" t="s">
        <v>7</v>
      </c>
      <c r="B12" s="8">
        <v>252701298.390847</v>
      </c>
      <c r="C12" s="8">
        <v>1888</v>
      </c>
      <c r="D12" s="8">
        <v>78674218.901455879</v>
      </c>
      <c r="E12" s="42">
        <f t="shared" si="0"/>
        <v>31.133286375035702</v>
      </c>
      <c r="F12" s="58">
        <v>45.336452484130859</v>
      </c>
      <c r="H12" s="57"/>
    </row>
    <row r="13" spans="1:8" x14ac:dyDescent="0.4">
      <c r="A13" s="47" t="s">
        <v>88</v>
      </c>
      <c r="B13" s="48">
        <f>SUM(B3:B12)</f>
        <v>768828858.65570688</v>
      </c>
      <c r="C13" s="48">
        <f>SUM(C3:C12)</f>
        <v>14432</v>
      </c>
      <c r="D13" s="48">
        <f>SUM(D3:D12)</f>
        <v>173493467.85139734</v>
      </c>
      <c r="E13" s="60">
        <f>D13/B13*100</f>
        <v>22.565941158185677</v>
      </c>
      <c r="F13" s="61">
        <f>SUM(F3:F12)</f>
        <v>99.999998164363205</v>
      </c>
      <c r="H13" s="57"/>
    </row>
    <row r="15" spans="1:8" ht="15" x14ac:dyDescent="0.4">
      <c r="A15" s="2" t="s">
        <v>1171</v>
      </c>
      <c r="B15" s="8">
        <v>0</v>
      </c>
      <c r="C15" s="8">
        <v>14</v>
      </c>
      <c r="D15" s="8">
        <v>40657.262020638431</v>
      </c>
      <c r="E15" s="9"/>
      <c r="F15" s="56"/>
    </row>
    <row r="16" spans="1:8" x14ac:dyDescent="0.4">
      <c r="A16" s="55" t="s">
        <v>1229</v>
      </c>
      <c r="B16" s="64">
        <v>0</v>
      </c>
      <c r="C16" s="65">
        <f>SUM(C13,C15)</f>
        <v>14446</v>
      </c>
      <c r="D16" s="65">
        <f t="shared" ref="D16" si="1">SUM(D13,D15)</f>
        <v>173534125.11341798</v>
      </c>
      <c r="E16" s="56"/>
      <c r="F16" s="56"/>
    </row>
    <row r="17" spans="1:5" x14ac:dyDescent="0.4">
      <c r="D17" s="29"/>
    </row>
    <row r="19" spans="1:5" s="30" customFormat="1" ht="26.15" customHeight="1" x14ac:dyDescent="0.4">
      <c r="A19" s="76" t="s">
        <v>1179</v>
      </c>
      <c r="B19" s="76"/>
      <c r="C19" s="76"/>
      <c r="D19" s="76"/>
      <c r="E19" s="76"/>
    </row>
    <row r="20" spans="1:5" s="30" customFormat="1" ht="26.15" customHeight="1" x14ac:dyDescent="0.4">
      <c r="A20" s="76" t="s">
        <v>1176</v>
      </c>
      <c r="B20" s="76"/>
      <c r="C20" s="76"/>
      <c r="D20" s="76"/>
      <c r="E20" s="76"/>
    </row>
    <row r="21" spans="1:5" s="30" customFormat="1" ht="26.15" customHeight="1" x14ac:dyDescent="0.4">
      <c r="A21" s="76" t="s">
        <v>1177</v>
      </c>
      <c r="B21" s="76"/>
      <c r="C21" s="76"/>
      <c r="D21" s="76"/>
      <c r="E21" s="76"/>
    </row>
    <row r="22" spans="1:5" s="30" customFormat="1" ht="26.15" customHeight="1" x14ac:dyDescent="0.4">
      <c r="A22" s="76" t="s">
        <v>1205</v>
      </c>
      <c r="B22" s="76"/>
      <c r="C22" s="76"/>
      <c r="D22" s="76"/>
      <c r="E22" s="76"/>
    </row>
    <row r="23" spans="1:5" s="30" customFormat="1" ht="26.15" customHeight="1" x14ac:dyDescent="0.4">
      <c r="A23" s="76" t="s">
        <v>1174</v>
      </c>
      <c r="B23" s="76"/>
      <c r="C23" s="76"/>
      <c r="D23" s="76"/>
      <c r="E23" s="76"/>
    </row>
  </sheetData>
  <mergeCells count="6">
    <mergeCell ref="A1:F1"/>
    <mergeCell ref="A23:E23"/>
    <mergeCell ref="A19:E19"/>
    <mergeCell ref="A20:E20"/>
    <mergeCell ref="A21:E21"/>
    <mergeCell ref="A22:E22"/>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A20" sqref="A20"/>
    </sheetView>
  </sheetViews>
  <sheetFormatPr defaultRowHeight="14.6" x14ac:dyDescent="0.4"/>
  <cols>
    <col min="1" max="1" width="34" customWidth="1"/>
    <col min="2" max="2" width="12.69140625" customWidth="1"/>
    <col min="3" max="3" width="21.69140625" customWidth="1"/>
    <col min="4" max="4" width="20.69140625" customWidth="1"/>
    <col min="5" max="5" width="22" customWidth="1"/>
  </cols>
  <sheetData>
    <row r="1" spans="1:6" s="21" customFormat="1" ht="23.15" customHeight="1" x14ac:dyDescent="0.4">
      <c r="A1" s="75" t="s">
        <v>107</v>
      </c>
      <c r="B1" s="75"/>
      <c r="C1" s="75"/>
      <c r="D1" s="75"/>
      <c r="E1" s="75"/>
    </row>
    <row r="2" spans="1:6" s="21" customFormat="1" ht="23.15" customHeight="1" x14ac:dyDescent="0.4">
      <c r="A2" s="45" t="s">
        <v>108</v>
      </c>
      <c r="B2" s="46" t="s">
        <v>2</v>
      </c>
      <c r="C2" s="46" t="s">
        <v>103</v>
      </c>
      <c r="D2" s="46" t="s">
        <v>5</v>
      </c>
      <c r="E2" s="59" t="s">
        <v>105</v>
      </c>
      <c r="F2" s="35"/>
    </row>
    <row r="3" spans="1:6" ht="14.15" customHeight="1" x14ac:dyDescent="0.4">
      <c r="A3" s="44" t="s">
        <v>109</v>
      </c>
      <c r="B3" s="8">
        <v>83</v>
      </c>
      <c r="C3" s="8">
        <v>85858982.425728291</v>
      </c>
      <c r="D3" s="3">
        <v>11.1675025489292</v>
      </c>
      <c r="E3" s="58">
        <v>49.476713798863948</v>
      </c>
      <c r="F3" s="1"/>
    </row>
    <row r="4" spans="1:6" ht="14.15" customHeight="1" x14ac:dyDescent="0.4">
      <c r="A4" s="44" t="s">
        <v>110</v>
      </c>
      <c r="B4" s="8">
        <v>7299</v>
      </c>
      <c r="C4" s="8">
        <v>66509385.460622221</v>
      </c>
      <c r="D4" s="3">
        <v>8.6560281841141009</v>
      </c>
      <c r="E4" s="58">
        <v>38.349830431995599</v>
      </c>
      <c r="F4" s="1"/>
    </row>
    <row r="5" spans="1:6" ht="14.15" customHeight="1" x14ac:dyDescent="0.4">
      <c r="A5" s="44" t="s">
        <v>111</v>
      </c>
      <c r="B5" s="8">
        <v>283</v>
      </c>
      <c r="C5" s="8">
        <v>10521598.33745534</v>
      </c>
      <c r="D5" s="3">
        <v>1.368522814185275</v>
      </c>
      <c r="E5" s="58">
        <v>6.0631292724578918</v>
      </c>
      <c r="F5" s="1"/>
    </row>
    <row r="6" spans="1:6" ht="14.15" customHeight="1" x14ac:dyDescent="0.4">
      <c r="A6" s="44" t="s">
        <v>112</v>
      </c>
      <c r="B6" s="8">
        <v>6770</v>
      </c>
      <c r="C6" s="8">
        <v>10603501.62759142</v>
      </c>
      <c r="D6" s="3">
        <v>1.379175807914284</v>
      </c>
      <c r="E6" s="58">
        <v>6.1103264966825472</v>
      </c>
      <c r="F6" s="1"/>
    </row>
    <row r="7" spans="1:6" x14ac:dyDescent="0.4">
      <c r="A7" s="47" t="s">
        <v>88</v>
      </c>
      <c r="B7" s="48">
        <f>SUM(B3:B6)</f>
        <v>14435</v>
      </c>
      <c r="C7" s="48">
        <f>SUM(C3:C6)</f>
        <v>173493467.85139728</v>
      </c>
      <c r="D7" s="62">
        <f>(C7/C8)* 100</f>
        <v>22.565941158185666</v>
      </c>
      <c r="E7" s="63">
        <f>SUM(E3:E6)</f>
        <v>99.999999999999986</v>
      </c>
      <c r="F7" s="1"/>
    </row>
    <row r="8" spans="1:6" x14ac:dyDescent="0.4">
      <c r="A8" s="9" t="s">
        <v>113</v>
      </c>
      <c r="C8" s="8">
        <v>768828858.655707</v>
      </c>
    </row>
    <row r="9" spans="1:6" x14ac:dyDescent="0.4">
      <c r="A9" s="10"/>
      <c r="B9" s="10"/>
    </row>
    <row r="10" spans="1:6" ht="14.15" customHeight="1" x14ac:dyDescent="0.4">
      <c r="A10" s="2" t="s">
        <v>1181</v>
      </c>
      <c r="B10" s="8">
        <v>14</v>
      </c>
      <c r="C10" s="8">
        <v>40657.262020638431</v>
      </c>
      <c r="D10" s="9"/>
      <c r="E10" s="9"/>
    </row>
    <row r="11" spans="1:6" x14ac:dyDescent="0.4">
      <c r="A11" s="55" t="s">
        <v>1229</v>
      </c>
      <c r="B11" s="64">
        <f>B7+B10</f>
        <v>14449</v>
      </c>
      <c r="C11" s="65">
        <f>SUM(C7,C10)</f>
        <v>173534125.11341792</v>
      </c>
      <c r="D11" s="56"/>
    </row>
    <row r="13" spans="1:6" s="30" customFormat="1" ht="26.15" customHeight="1" x14ac:dyDescent="0.4">
      <c r="A13" s="76" t="s">
        <v>1180</v>
      </c>
      <c r="B13" s="76"/>
      <c r="C13" s="76"/>
      <c r="D13" s="76"/>
    </row>
    <row r="14" spans="1:6" s="30" customFormat="1" ht="26.15" customHeight="1" x14ac:dyDescent="0.4">
      <c r="A14" s="76" t="s">
        <v>1176</v>
      </c>
      <c r="B14" s="76"/>
      <c r="C14" s="76"/>
      <c r="D14" s="76"/>
    </row>
    <row r="15" spans="1:6" s="30" customFormat="1" ht="26.15" customHeight="1" x14ac:dyDescent="0.4">
      <c r="A15" s="76" t="s">
        <v>1177</v>
      </c>
      <c r="B15" s="76"/>
      <c r="C15" s="76"/>
      <c r="D15" s="76"/>
    </row>
    <row r="16" spans="1:6" s="30" customFormat="1" ht="26.15" customHeight="1" x14ac:dyDescent="0.4">
      <c r="A16" s="76" t="s">
        <v>1172</v>
      </c>
      <c r="B16" s="76"/>
      <c r="C16" s="76"/>
      <c r="D16" s="76"/>
    </row>
    <row r="17" spans="1:4" s="30" customFormat="1" ht="26.15" customHeight="1" x14ac:dyDescent="0.4">
      <c r="A17" s="76" t="s">
        <v>1205</v>
      </c>
      <c r="B17" s="76"/>
      <c r="C17" s="76"/>
      <c r="D17" s="76"/>
    </row>
  </sheetData>
  <mergeCells count="6">
    <mergeCell ref="A17:D17"/>
    <mergeCell ref="A1:E1"/>
    <mergeCell ref="A13:D13"/>
    <mergeCell ref="A14:D14"/>
    <mergeCell ref="A15:D15"/>
    <mergeCell ref="A16:D16"/>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workbookViewId="0">
      <selection activeCell="A19" sqref="A19:E19"/>
    </sheetView>
  </sheetViews>
  <sheetFormatPr defaultRowHeight="14.6" x14ac:dyDescent="0.4"/>
  <cols>
    <col min="1" max="1" width="34.3828125" bestFit="1" customWidth="1"/>
    <col min="2" max="3" width="12.69140625" customWidth="1"/>
    <col min="4" max="4" width="19.53515625" customWidth="1"/>
    <col min="5" max="5" width="23" customWidth="1"/>
    <col min="8" max="8" width="10.84375" bestFit="1" customWidth="1"/>
  </cols>
  <sheetData>
    <row r="1" spans="1:8" ht="23.15" customHeight="1" thickBot="1" x14ac:dyDescent="0.45">
      <c r="A1" s="77" t="s">
        <v>114</v>
      </c>
      <c r="B1" s="77"/>
      <c r="C1" s="77"/>
      <c r="D1" s="77"/>
      <c r="E1" s="77"/>
    </row>
    <row r="2" spans="1:8" ht="23.15" customHeight="1" x14ac:dyDescent="0.4">
      <c r="A2" s="20" t="s">
        <v>115</v>
      </c>
      <c r="B2" s="20" t="s">
        <v>2</v>
      </c>
      <c r="C2" s="20" t="s">
        <v>3</v>
      </c>
      <c r="D2" s="25" t="s">
        <v>1230</v>
      </c>
      <c r="E2" s="66" t="s">
        <v>105</v>
      </c>
      <c r="F2" s="1"/>
    </row>
    <row r="3" spans="1:8" ht="14.15" customHeight="1" x14ac:dyDescent="0.4">
      <c r="A3" s="2" t="s">
        <v>116</v>
      </c>
      <c r="B3" s="8">
        <v>2680</v>
      </c>
      <c r="C3" s="24">
        <v>16015028.347584361</v>
      </c>
      <c r="D3" s="3">
        <v>2.08833</v>
      </c>
      <c r="E3" s="58">
        <v>9.2521780000000007</v>
      </c>
      <c r="F3" s="13"/>
      <c r="G3" s="29"/>
      <c r="H3" s="29"/>
    </row>
    <row r="4" spans="1:8" ht="14.15" customHeight="1" x14ac:dyDescent="0.4">
      <c r="A4" s="2" t="s">
        <v>117</v>
      </c>
      <c r="B4" s="8">
        <v>65</v>
      </c>
      <c r="C4" s="24">
        <v>3867150.8787690001</v>
      </c>
      <c r="D4" s="3">
        <v>0.50299199999999999</v>
      </c>
      <c r="E4" s="58">
        <v>2.2284670000000002</v>
      </c>
      <c r="F4" s="1"/>
    </row>
    <row r="5" spans="1:8" ht="14.15" customHeight="1" x14ac:dyDescent="0.4">
      <c r="A5" s="2" t="s">
        <v>118</v>
      </c>
      <c r="B5" s="8">
        <v>1175</v>
      </c>
      <c r="C5" s="14">
        <v>39564238.528729998</v>
      </c>
      <c r="D5" s="3">
        <v>5.1460400000000002</v>
      </c>
      <c r="E5" s="58">
        <v>22.799111</v>
      </c>
      <c r="F5" s="1"/>
    </row>
    <row r="6" spans="1:8" ht="14.15" customHeight="1" x14ac:dyDescent="0.4">
      <c r="A6" s="2" t="s">
        <v>119</v>
      </c>
      <c r="B6" s="8">
        <v>2500</v>
      </c>
      <c r="C6" s="14">
        <v>2454996.3419929999</v>
      </c>
      <c r="D6" s="3">
        <v>0.31931599999999999</v>
      </c>
      <c r="E6" s="58">
        <v>1.4147050000000001</v>
      </c>
      <c r="F6" s="1"/>
    </row>
    <row r="7" spans="1:8" ht="14.15" customHeight="1" x14ac:dyDescent="0.4">
      <c r="A7" s="2" t="s">
        <v>120</v>
      </c>
      <c r="B7" s="8">
        <v>6406</v>
      </c>
      <c r="C7" s="14">
        <v>4394467.1264840001</v>
      </c>
      <c r="D7" s="3">
        <v>0.57157899999999995</v>
      </c>
      <c r="E7" s="58">
        <v>2.5323359999999999</v>
      </c>
      <c r="F7" s="1"/>
    </row>
    <row r="8" spans="1:8" x14ac:dyDescent="0.4">
      <c r="A8" s="2" t="s">
        <v>121</v>
      </c>
      <c r="B8" s="8">
        <v>366</v>
      </c>
      <c r="C8" s="14">
        <v>7248957.8468709998</v>
      </c>
      <c r="D8" s="3">
        <v>0.94285699999999995</v>
      </c>
      <c r="E8" s="58">
        <v>4.1772520000000002</v>
      </c>
      <c r="F8" s="1"/>
    </row>
    <row r="9" spans="1:8" ht="14.15" customHeight="1" x14ac:dyDescent="0.4">
      <c r="A9" s="2" t="s">
        <v>122</v>
      </c>
      <c r="B9" s="8">
        <v>1365</v>
      </c>
      <c r="C9" s="14">
        <v>99937978.161133006</v>
      </c>
      <c r="D9" s="3">
        <v>12.998729000000001</v>
      </c>
      <c r="E9" s="58">
        <v>57.589812999999999</v>
      </c>
    </row>
    <row r="10" spans="1:8" ht="14.15" customHeight="1" x14ac:dyDescent="0.4">
      <c r="A10" s="2" t="s">
        <v>123</v>
      </c>
      <c r="B10" s="8">
        <v>9</v>
      </c>
      <c r="C10" s="14">
        <v>2824.9706209999999</v>
      </c>
      <c r="D10" s="3">
        <v>3.6699999999999998E-4</v>
      </c>
      <c r="E10" s="58">
        <v>1.6280000000000001E-3</v>
      </c>
    </row>
    <row r="11" spans="1:8" x14ac:dyDescent="0.4">
      <c r="A11" s="26" t="s">
        <v>124</v>
      </c>
      <c r="B11" s="8">
        <v>13</v>
      </c>
      <c r="C11" s="14">
        <v>6760.2424060000003</v>
      </c>
      <c r="D11" s="3">
        <v>8.7900000000000001E-4</v>
      </c>
      <c r="E11" s="58">
        <v>3.8960000000000002E-3</v>
      </c>
    </row>
    <row r="12" spans="1:8" ht="14.15" customHeight="1" x14ac:dyDescent="0.4">
      <c r="A12" s="27" t="s">
        <v>1166</v>
      </c>
      <c r="B12" s="8">
        <v>1</v>
      </c>
      <c r="C12" s="15">
        <v>1065.4068070000001</v>
      </c>
      <c r="D12" s="3">
        <v>1.3899999999999999E-4</v>
      </c>
      <c r="E12" s="67">
        <v>6.1399999999999996E-4</v>
      </c>
    </row>
    <row r="13" spans="1:8" ht="14.15" customHeight="1" thickBot="1" x14ac:dyDescent="0.45">
      <c r="A13" s="49" t="s">
        <v>88</v>
      </c>
      <c r="B13" s="48">
        <f>SUM(B3:B12)</f>
        <v>14580</v>
      </c>
      <c r="C13" s="48">
        <f>SUM(C3:C12)</f>
        <v>173493467.85139835</v>
      </c>
      <c r="D13" s="60">
        <f>SUM(D3:D12)</f>
        <v>22.571228000000001</v>
      </c>
      <c r="E13" s="61">
        <f t="shared" ref="E13" si="0">SUM(E3:E12)</f>
        <v>100</v>
      </c>
      <c r="F13" s="1"/>
    </row>
    <row r="14" spans="1:8" ht="14.15" customHeight="1" x14ac:dyDescent="0.4">
      <c r="A14" s="16" t="s">
        <v>90</v>
      </c>
      <c r="B14" s="17"/>
      <c r="C14" s="18">
        <v>768828858.655707</v>
      </c>
      <c r="F14" s="1"/>
    </row>
    <row r="15" spans="1:8" x14ac:dyDescent="0.4">
      <c r="A15" s="10"/>
      <c r="B15" s="10"/>
      <c r="C15" s="10"/>
      <c r="D15" s="10"/>
      <c r="E15" s="10"/>
    </row>
    <row r="16" spans="1:8" ht="14.15" customHeight="1" x14ac:dyDescent="0.4">
      <c r="A16" s="2" t="s">
        <v>1200</v>
      </c>
      <c r="B16" s="8">
        <v>14</v>
      </c>
      <c r="C16" s="8">
        <v>40657.262020638431</v>
      </c>
      <c r="D16" s="9"/>
      <c r="E16" s="9"/>
    </row>
    <row r="17" spans="1:5" x14ac:dyDescent="0.4">
      <c r="A17" s="55" t="s">
        <v>1229</v>
      </c>
      <c r="B17" s="64">
        <f>B13+B16</f>
        <v>14594</v>
      </c>
      <c r="C17" s="65">
        <f>SUM(C13,C16)</f>
        <v>173534125.113419</v>
      </c>
    </row>
    <row r="18" spans="1:5" ht="26.15" customHeight="1" x14ac:dyDescent="0.4">
      <c r="A18" s="30"/>
      <c r="B18" s="30"/>
      <c r="C18" s="30"/>
      <c r="D18" s="30"/>
      <c r="E18" s="30"/>
    </row>
    <row r="19" spans="1:5" ht="34.200000000000003" customHeight="1" x14ac:dyDescent="0.4">
      <c r="A19" s="76" t="s">
        <v>1182</v>
      </c>
      <c r="B19" s="76"/>
      <c r="C19" s="76"/>
      <c r="D19" s="76"/>
      <c r="E19" s="76"/>
    </row>
    <row r="20" spans="1:5" ht="25.5" customHeight="1" x14ac:dyDescent="0.4">
      <c r="A20" s="76" t="s">
        <v>1176</v>
      </c>
      <c r="B20" s="76"/>
      <c r="C20" s="76"/>
      <c r="D20" s="76"/>
      <c r="E20" s="76"/>
    </row>
    <row r="21" spans="1:5" ht="24" customHeight="1" x14ac:dyDescent="0.4">
      <c r="A21" s="76" t="s">
        <v>1177</v>
      </c>
      <c r="B21" s="76"/>
      <c r="C21" s="76"/>
      <c r="D21" s="76"/>
      <c r="E21" s="76"/>
    </row>
    <row r="22" spans="1:5" ht="26.15" customHeight="1" x14ac:dyDescent="0.4">
      <c r="A22" s="76" t="s">
        <v>1172</v>
      </c>
      <c r="B22" s="76"/>
      <c r="C22" s="76"/>
      <c r="D22" s="76"/>
      <c r="E22" s="76"/>
    </row>
    <row r="23" spans="1:5" x14ac:dyDescent="0.4">
      <c r="A23" s="12"/>
      <c r="B23" s="39"/>
      <c r="C23" s="39"/>
      <c r="D23" s="39"/>
      <c r="E23" s="39"/>
    </row>
    <row r="24" spans="1:5" ht="26.15" customHeight="1" x14ac:dyDescent="0.4">
      <c r="A24" s="76" t="s">
        <v>1205</v>
      </c>
      <c r="B24" s="76"/>
      <c r="C24" s="76"/>
      <c r="D24" s="76"/>
      <c r="E24" s="76"/>
    </row>
    <row r="25" spans="1:5" x14ac:dyDescent="0.4">
      <c r="A25" s="11"/>
    </row>
    <row r="26" spans="1:5" x14ac:dyDescent="0.4">
      <c r="A26" s="11"/>
    </row>
  </sheetData>
  <mergeCells count="6">
    <mergeCell ref="A1:E1"/>
    <mergeCell ref="A24:E24"/>
    <mergeCell ref="A19:E19"/>
    <mergeCell ref="A20:E20"/>
    <mergeCell ref="A21:E21"/>
    <mergeCell ref="A22:E22"/>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5"/>
  <sheetViews>
    <sheetView workbookViewId="0">
      <pane ySplit="2" topLeftCell="A3" activePane="bottomLeft" state="frozen"/>
      <selection pane="bottomLeft" activeCell="A3" sqref="A3:XFD3"/>
    </sheetView>
  </sheetViews>
  <sheetFormatPr defaultRowHeight="14.6" x14ac:dyDescent="0.4"/>
  <cols>
    <col min="1" max="1" width="30.69140625" customWidth="1"/>
    <col min="2" max="2" width="20.69140625" customWidth="1"/>
    <col min="3" max="3" width="36.3828125" customWidth="1"/>
    <col min="4" max="4" width="33" customWidth="1"/>
    <col min="5" max="6" width="20.69140625" customWidth="1"/>
    <col min="7" max="7" width="23.84375" customWidth="1"/>
    <col min="8" max="8" width="23" customWidth="1"/>
  </cols>
  <sheetData>
    <row r="1" spans="1:8" s="21" customFormat="1" ht="23.15" customHeight="1" x14ac:dyDescent="0.4">
      <c r="A1" s="75" t="s">
        <v>126</v>
      </c>
      <c r="B1" s="75"/>
      <c r="C1" s="75"/>
      <c r="D1" s="75"/>
      <c r="E1" s="75"/>
      <c r="F1" s="75"/>
      <c r="G1" s="75"/>
      <c r="H1" s="75"/>
    </row>
    <row r="2" spans="1:8" s="21" customFormat="1" ht="28.5" customHeight="1" x14ac:dyDescent="0.4">
      <c r="A2" s="45" t="s">
        <v>127</v>
      </c>
      <c r="B2" s="46" t="s">
        <v>128</v>
      </c>
      <c r="C2" s="46" t="s">
        <v>4</v>
      </c>
      <c r="D2" s="46" t="s">
        <v>1228</v>
      </c>
      <c r="E2" s="46" t="s">
        <v>129</v>
      </c>
      <c r="F2" s="46" t="s">
        <v>130</v>
      </c>
      <c r="G2" s="46" t="s">
        <v>131</v>
      </c>
      <c r="H2" s="59" t="s">
        <v>105</v>
      </c>
    </row>
    <row r="3" spans="1:8" ht="14.15" customHeight="1" x14ac:dyDescent="0.4">
      <c r="A3" s="44" t="s">
        <v>132</v>
      </c>
      <c r="B3" s="2" t="s">
        <v>133</v>
      </c>
      <c r="C3" s="43" t="s">
        <v>21</v>
      </c>
      <c r="D3" s="2" t="s">
        <v>21</v>
      </c>
      <c r="E3" s="8">
        <v>3335668.5639999988</v>
      </c>
      <c r="F3" s="8">
        <v>1809069.229053661</v>
      </c>
      <c r="G3" s="3">
        <v>54.23408214406944</v>
      </c>
      <c r="H3" s="58">
        <v>1.043914707092517</v>
      </c>
    </row>
    <row r="4" spans="1:8" ht="14.15" customHeight="1" x14ac:dyDescent="0.4">
      <c r="A4" s="44" t="s">
        <v>134</v>
      </c>
      <c r="B4" s="2" t="s">
        <v>135</v>
      </c>
      <c r="C4" s="43" t="s">
        <v>21</v>
      </c>
      <c r="D4" s="2" t="s">
        <v>21</v>
      </c>
      <c r="E4" s="8">
        <v>2306022.605</v>
      </c>
      <c r="F4" s="8">
        <v>1728646.654232366</v>
      </c>
      <c r="G4" s="3">
        <v>74.962259714378035</v>
      </c>
      <c r="H4" s="58">
        <v>0.99750724667591584</v>
      </c>
    </row>
    <row r="5" spans="1:8" ht="14.15" customHeight="1" x14ac:dyDescent="0.4">
      <c r="A5" s="44" t="s">
        <v>136</v>
      </c>
      <c r="B5" s="2" t="s">
        <v>137</v>
      </c>
      <c r="C5" s="43" t="s">
        <v>802</v>
      </c>
      <c r="D5" s="2" t="s">
        <v>802</v>
      </c>
      <c r="E5" s="8">
        <v>1232986.28</v>
      </c>
      <c r="F5" s="8">
        <v>789186.71943810326</v>
      </c>
      <c r="G5" s="3">
        <v>64.006123364008829</v>
      </c>
      <c r="H5" s="58">
        <v>0.45539640486533017</v>
      </c>
    </row>
    <row r="6" spans="1:8" ht="14.15" customHeight="1" x14ac:dyDescent="0.4">
      <c r="A6" s="44" t="s">
        <v>138</v>
      </c>
      <c r="B6" s="2" t="s">
        <v>139</v>
      </c>
      <c r="C6" s="43" t="s">
        <v>7</v>
      </c>
      <c r="D6" s="2" t="s">
        <v>7</v>
      </c>
      <c r="E6" s="8">
        <v>9517104.300999999</v>
      </c>
      <c r="F6" s="8">
        <v>425499.25159901642</v>
      </c>
      <c r="G6" s="3">
        <v>4.4708898646230821</v>
      </c>
      <c r="H6" s="58">
        <v>0.24553229885703659</v>
      </c>
    </row>
    <row r="7" spans="1:8" ht="14.15" customHeight="1" x14ac:dyDescent="0.4">
      <c r="A7" s="44" t="s">
        <v>140</v>
      </c>
      <c r="B7" s="2" t="s">
        <v>141</v>
      </c>
      <c r="C7" s="43" t="s">
        <v>57</v>
      </c>
      <c r="D7" s="2" t="s">
        <v>57</v>
      </c>
      <c r="E7" s="8">
        <v>657499.64399999997</v>
      </c>
      <c r="F7" s="8">
        <v>107167.5140203818</v>
      </c>
      <c r="G7" s="3">
        <v>16.299250501249212</v>
      </c>
      <c r="H7" s="58">
        <v>6.1840499087446259E-2</v>
      </c>
    </row>
    <row r="8" spans="1:8" ht="14.15" customHeight="1" x14ac:dyDescent="0.4">
      <c r="A8" s="44" t="s">
        <v>142</v>
      </c>
      <c r="B8" s="2" t="s">
        <v>143</v>
      </c>
      <c r="C8" s="43" t="s">
        <v>29</v>
      </c>
      <c r="D8" s="2" t="s">
        <v>29</v>
      </c>
      <c r="E8" s="8">
        <v>13674532.530999999</v>
      </c>
      <c r="F8" s="8">
        <v>329113.00575054798</v>
      </c>
      <c r="G8" s="3">
        <v>2.4067587320038388</v>
      </c>
      <c r="H8" s="58">
        <v>0.18991307877042571</v>
      </c>
    </row>
    <row r="9" spans="1:8" ht="14.15" customHeight="1" x14ac:dyDescent="0.4">
      <c r="A9" s="44" t="s">
        <v>144</v>
      </c>
      <c r="B9" s="2" t="s">
        <v>145</v>
      </c>
      <c r="C9" s="43" t="s">
        <v>423</v>
      </c>
      <c r="D9" s="2" t="s">
        <v>423</v>
      </c>
      <c r="E9" s="8">
        <v>27219895.217</v>
      </c>
      <c r="F9" s="8">
        <v>1501809.318211809</v>
      </c>
      <c r="G9" s="3">
        <v>5.5173221874633258</v>
      </c>
      <c r="H9" s="58">
        <v>0.86661185174765376</v>
      </c>
    </row>
    <row r="10" spans="1:8" ht="14.15" customHeight="1" x14ac:dyDescent="0.4">
      <c r="A10" s="44" t="s">
        <v>146</v>
      </c>
      <c r="B10" s="2" t="s">
        <v>147</v>
      </c>
      <c r="C10" s="43" t="s">
        <v>364</v>
      </c>
      <c r="D10" s="2" t="s">
        <v>364</v>
      </c>
      <c r="E10" s="8">
        <v>5635422.2470000004</v>
      </c>
      <c r="F10" s="8">
        <v>328109.80335214583</v>
      </c>
      <c r="G10" s="3">
        <v>5.8222754031752286</v>
      </c>
      <c r="H10" s="58">
        <v>0.1893341856462358</v>
      </c>
    </row>
    <row r="11" spans="1:8" ht="14.15" customHeight="1" x14ac:dyDescent="0.4">
      <c r="A11" s="44" t="s">
        <v>148</v>
      </c>
      <c r="B11" s="2" t="s">
        <v>149</v>
      </c>
      <c r="C11" s="43" t="s">
        <v>21</v>
      </c>
      <c r="D11" s="2" t="s">
        <v>21</v>
      </c>
      <c r="E11" s="8">
        <v>7379719.2189999986</v>
      </c>
      <c r="F11" s="8">
        <v>493241.27525525697</v>
      </c>
      <c r="G11" s="3">
        <v>6.6837404055339462</v>
      </c>
      <c r="H11" s="58">
        <v>0.28462250814656798</v>
      </c>
    </row>
    <row r="12" spans="1:8" ht="14.15" customHeight="1" x14ac:dyDescent="0.4">
      <c r="A12" s="44" t="s">
        <v>150</v>
      </c>
      <c r="B12" s="2" t="s">
        <v>151</v>
      </c>
      <c r="C12" s="43" t="s">
        <v>29</v>
      </c>
      <c r="D12" s="2" t="s">
        <v>29</v>
      </c>
      <c r="E12" s="8">
        <v>12256457.234999999</v>
      </c>
      <c r="F12" s="8">
        <v>4752326.3479006318</v>
      </c>
      <c r="G12" s="3">
        <v>38.774062168060361</v>
      </c>
      <c r="H12" s="58">
        <v>2.7423070868724522</v>
      </c>
    </row>
    <row r="13" spans="1:8" ht="14.15" customHeight="1" x14ac:dyDescent="0.4">
      <c r="A13" s="44" t="s">
        <v>152</v>
      </c>
      <c r="B13" s="2" t="s">
        <v>153</v>
      </c>
      <c r="C13" s="43" t="s">
        <v>7</v>
      </c>
      <c r="D13" s="2" t="s">
        <v>7</v>
      </c>
      <c r="E13" s="8">
        <v>8430171.7320000008</v>
      </c>
      <c r="F13" s="8">
        <v>1230854.8463105061</v>
      </c>
      <c r="G13" s="3">
        <v>14.600590420220231</v>
      </c>
      <c r="H13" s="58">
        <v>0.71025887551676636</v>
      </c>
    </row>
    <row r="14" spans="1:8" ht="14.15" customHeight="1" x14ac:dyDescent="0.4">
      <c r="A14" s="44" t="s">
        <v>154</v>
      </c>
      <c r="B14" s="2" t="s">
        <v>155</v>
      </c>
      <c r="C14" s="43" t="s">
        <v>21</v>
      </c>
      <c r="D14" s="2" t="s">
        <v>21</v>
      </c>
      <c r="E14" s="8">
        <v>3462433.034</v>
      </c>
      <c r="F14" s="8">
        <v>1179902.4764707549</v>
      </c>
      <c r="G14" s="3">
        <v>34.077264885255119</v>
      </c>
      <c r="H14" s="58">
        <v>0.68085705529745</v>
      </c>
    </row>
    <row r="15" spans="1:8" ht="14.15" customHeight="1" x14ac:dyDescent="0.4">
      <c r="A15" s="44" t="s">
        <v>156</v>
      </c>
      <c r="B15" s="2" t="s">
        <v>157</v>
      </c>
      <c r="C15" s="43" t="s">
        <v>7</v>
      </c>
      <c r="D15" s="2" t="s">
        <v>7</v>
      </c>
      <c r="E15" s="8">
        <v>7675587.4890000001</v>
      </c>
      <c r="F15" s="8">
        <v>2385269.587155493</v>
      </c>
      <c r="G15" s="3">
        <v>31.07605236177502</v>
      </c>
      <c r="H15" s="58">
        <v>1.3764083554252169</v>
      </c>
    </row>
    <row r="16" spans="1:8" ht="14.15" customHeight="1" x14ac:dyDescent="0.4">
      <c r="A16" s="44" t="s">
        <v>158</v>
      </c>
      <c r="B16" s="2" t="s">
        <v>159</v>
      </c>
      <c r="C16" s="43" t="s">
        <v>29</v>
      </c>
      <c r="D16" s="2" t="s">
        <v>29</v>
      </c>
      <c r="E16" s="8">
        <v>1464207.9029999999</v>
      </c>
      <c r="F16" s="8">
        <v>219669.78774112291</v>
      </c>
      <c r="G16" s="3">
        <v>15.00263639412435</v>
      </c>
      <c r="H16" s="58">
        <v>0.12675939562954541</v>
      </c>
    </row>
    <row r="17" spans="1:8" ht="14.15" customHeight="1" x14ac:dyDescent="0.4">
      <c r="A17" s="44" t="s">
        <v>160</v>
      </c>
      <c r="B17" s="2" t="s">
        <v>161</v>
      </c>
      <c r="C17" s="43" t="s">
        <v>779</v>
      </c>
      <c r="D17" s="2" t="s">
        <v>779</v>
      </c>
      <c r="E17" s="8">
        <v>10164043.99</v>
      </c>
      <c r="F17" s="8">
        <v>8265172.5461304961</v>
      </c>
      <c r="G17" s="3">
        <v>81.31775653728252</v>
      </c>
      <c r="H17" s="58">
        <v>4.7693781083637008</v>
      </c>
    </row>
    <row r="18" spans="1:8" ht="14.15" customHeight="1" x14ac:dyDescent="0.4">
      <c r="A18" s="44" t="s">
        <v>162</v>
      </c>
      <c r="B18" s="2" t="s">
        <v>163</v>
      </c>
      <c r="C18" s="43" t="s">
        <v>1204</v>
      </c>
      <c r="D18" s="2" t="s">
        <v>1015</v>
      </c>
      <c r="E18" s="8">
        <v>30409436.976000011</v>
      </c>
      <c r="F18" s="8">
        <v>3357358.941522954</v>
      </c>
      <c r="G18" s="3">
        <v>11.040516613881</v>
      </c>
      <c r="H18" s="58">
        <v>1.937347847034999</v>
      </c>
    </row>
    <row r="19" spans="1:8" ht="14.15" customHeight="1" x14ac:dyDescent="0.4">
      <c r="A19" s="44" t="s">
        <v>164</v>
      </c>
      <c r="B19" s="2" t="s">
        <v>165</v>
      </c>
      <c r="C19" s="43" t="s">
        <v>10</v>
      </c>
      <c r="D19" s="2" t="s">
        <v>10</v>
      </c>
      <c r="E19" s="8">
        <v>7385346.3959999997</v>
      </c>
      <c r="F19" s="8">
        <v>240526.85552022111</v>
      </c>
      <c r="G19" s="3">
        <v>3.2568121063420068</v>
      </c>
      <c r="H19" s="58">
        <v>0.13879486638530841</v>
      </c>
    </row>
    <row r="20" spans="1:8" ht="14.15" customHeight="1" x14ac:dyDescent="0.4">
      <c r="A20" s="44" t="s">
        <v>166</v>
      </c>
      <c r="B20" s="2" t="s">
        <v>167</v>
      </c>
      <c r="C20" s="43" t="s">
        <v>7</v>
      </c>
      <c r="D20" s="2" t="s">
        <v>7</v>
      </c>
      <c r="E20" s="8">
        <v>12912208.812000001</v>
      </c>
      <c r="F20" s="8">
        <v>4857338.0673083467</v>
      </c>
      <c r="G20" s="3">
        <v>37.618180886249029</v>
      </c>
      <c r="H20" s="58">
        <v>2.8029035950360068</v>
      </c>
    </row>
    <row r="21" spans="1:8" ht="14.15" customHeight="1" x14ac:dyDescent="0.4">
      <c r="A21" s="44" t="s">
        <v>168</v>
      </c>
      <c r="B21" s="2" t="s">
        <v>169</v>
      </c>
      <c r="C21" s="43" t="s">
        <v>12</v>
      </c>
      <c r="D21" s="2" t="s">
        <v>170</v>
      </c>
      <c r="E21" s="8">
        <v>17167.102999999999</v>
      </c>
      <c r="F21" s="8">
        <v>0</v>
      </c>
      <c r="G21" s="3">
        <v>0</v>
      </c>
      <c r="H21" s="58">
        <v>0</v>
      </c>
    </row>
    <row r="22" spans="1:8" ht="14.15" customHeight="1" x14ac:dyDescent="0.4">
      <c r="A22" s="44" t="s">
        <v>171</v>
      </c>
      <c r="B22" s="2" t="s">
        <v>172</v>
      </c>
      <c r="C22" s="43" t="s">
        <v>21</v>
      </c>
      <c r="D22" s="2" t="s">
        <v>21</v>
      </c>
      <c r="E22" s="8">
        <v>2092228.9550000001</v>
      </c>
      <c r="F22" s="8">
        <v>219031.40587839659</v>
      </c>
      <c r="G22" s="3">
        <v>10.46880674100969</v>
      </c>
      <c r="H22" s="58">
        <v>0.12639102044271541</v>
      </c>
    </row>
    <row r="23" spans="1:8" ht="14.15" customHeight="1" x14ac:dyDescent="0.4">
      <c r="A23" s="44" t="s">
        <v>173</v>
      </c>
      <c r="B23" s="2" t="s">
        <v>174</v>
      </c>
      <c r="C23" s="43" t="s">
        <v>7</v>
      </c>
      <c r="D23" s="2" t="s">
        <v>7</v>
      </c>
      <c r="E23" s="8">
        <v>8360871.2699999996</v>
      </c>
      <c r="F23" s="8">
        <v>1237418.617226077</v>
      </c>
      <c r="G23" s="3">
        <v>14.80011564902466</v>
      </c>
      <c r="H23" s="58">
        <v>0.71404646798846783</v>
      </c>
    </row>
    <row r="24" spans="1:8" ht="14.15" customHeight="1" x14ac:dyDescent="0.4">
      <c r="A24" s="44" t="s">
        <v>175</v>
      </c>
      <c r="B24" s="2" t="s">
        <v>176</v>
      </c>
      <c r="C24" s="43" t="s">
        <v>423</v>
      </c>
      <c r="D24" s="2" t="s">
        <v>423</v>
      </c>
      <c r="E24" s="8">
        <v>10699767.931</v>
      </c>
      <c r="F24" s="8">
        <v>325635.19146930438</v>
      </c>
      <c r="G24" s="3">
        <v>3.0433855534927519</v>
      </c>
      <c r="H24" s="58">
        <v>0.18790622274832319</v>
      </c>
    </row>
    <row r="25" spans="1:8" ht="14.15" customHeight="1" x14ac:dyDescent="0.4">
      <c r="A25" s="44" t="s">
        <v>177</v>
      </c>
      <c r="B25" s="2" t="s">
        <v>178</v>
      </c>
      <c r="C25" s="43" t="s">
        <v>21</v>
      </c>
      <c r="D25" s="2" t="s">
        <v>21</v>
      </c>
      <c r="E25" s="8">
        <v>2843199.4350000001</v>
      </c>
      <c r="F25" s="8">
        <v>878565.5159442143</v>
      </c>
      <c r="G25" s="3">
        <v>30.90059406769031</v>
      </c>
      <c r="H25" s="58">
        <v>0.50697200997568115</v>
      </c>
    </row>
    <row r="26" spans="1:8" ht="14.15" customHeight="1" x14ac:dyDescent="0.4">
      <c r="A26" s="44" t="s">
        <v>179</v>
      </c>
      <c r="B26" s="2" t="s">
        <v>180</v>
      </c>
      <c r="C26" s="43" t="s">
        <v>21</v>
      </c>
      <c r="D26" s="2" t="s">
        <v>21</v>
      </c>
      <c r="E26" s="8">
        <v>5805108.1210000003</v>
      </c>
      <c r="F26" s="8">
        <v>129828.97590006109</v>
      </c>
      <c r="G26" s="3">
        <v>2.2364609442915331</v>
      </c>
      <c r="H26" s="58">
        <v>7.4917186789877979E-2</v>
      </c>
    </row>
    <row r="27" spans="1:8" ht="14.15" customHeight="1" x14ac:dyDescent="0.4">
      <c r="A27" s="44" t="s">
        <v>181</v>
      </c>
      <c r="B27" s="2" t="s">
        <v>182</v>
      </c>
      <c r="C27" s="43" t="s">
        <v>29</v>
      </c>
      <c r="D27" s="2" t="s">
        <v>29</v>
      </c>
      <c r="E27" s="8">
        <v>6941095.4559999993</v>
      </c>
      <c r="F27" s="8">
        <v>233814.89106288509</v>
      </c>
      <c r="G27" s="3">
        <v>3.368558933457277</v>
      </c>
      <c r="H27" s="58">
        <v>0.13492175954231569</v>
      </c>
    </row>
    <row r="28" spans="1:8" ht="14.15" customHeight="1" x14ac:dyDescent="0.4">
      <c r="A28" s="44" t="s">
        <v>183</v>
      </c>
      <c r="B28" s="2" t="s">
        <v>184</v>
      </c>
      <c r="C28" s="43" t="s">
        <v>29</v>
      </c>
      <c r="D28" s="2" t="s">
        <v>29</v>
      </c>
      <c r="E28" s="8">
        <v>11625726.308</v>
      </c>
      <c r="F28" s="8">
        <v>937043.19816505362</v>
      </c>
      <c r="G28" s="3">
        <v>8.0600830721453249</v>
      </c>
      <c r="H28" s="58">
        <v>0.54071627554972457</v>
      </c>
    </row>
    <row r="29" spans="1:8" ht="14.15" customHeight="1" x14ac:dyDescent="0.4">
      <c r="A29" s="44" t="s">
        <v>185</v>
      </c>
      <c r="B29" s="2" t="s">
        <v>186</v>
      </c>
      <c r="C29" s="43" t="s">
        <v>7</v>
      </c>
      <c r="D29" s="2" t="s">
        <v>7</v>
      </c>
      <c r="E29" s="8">
        <v>2921327.4870000002</v>
      </c>
      <c r="F29" s="8">
        <v>855728.79096079851</v>
      </c>
      <c r="G29" s="3">
        <v>29.29246360665892</v>
      </c>
      <c r="H29" s="58">
        <v>0.49379418754127619</v>
      </c>
    </row>
    <row r="30" spans="1:8" ht="14.15" customHeight="1" x14ac:dyDescent="0.4">
      <c r="A30" s="44" t="s">
        <v>187</v>
      </c>
      <c r="B30" s="2" t="s">
        <v>188</v>
      </c>
      <c r="C30" s="43" t="s">
        <v>35</v>
      </c>
      <c r="D30" s="2" t="s">
        <v>35</v>
      </c>
      <c r="E30" s="8">
        <v>6120408.6510000005</v>
      </c>
      <c r="F30" s="8">
        <v>928334.96665590012</v>
      </c>
      <c r="G30" s="3">
        <v>15.16785920012418</v>
      </c>
      <c r="H30" s="58">
        <v>0.53569123239539085</v>
      </c>
    </row>
    <row r="31" spans="1:8" ht="14.15" customHeight="1" x14ac:dyDescent="0.4">
      <c r="A31" s="44" t="s">
        <v>189</v>
      </c>
      <c r="B31" s="2" t="s">
        <v>190</v>
      </c>
      <c r="C31" s="43" t="s">
        <v>409</v>
      </c>
      <c r="D31" s="2" t="s">
        <v>409</v>
      </c>
      <c r="E31" s="8">
        <v>7267416.1729999986</v>
      </c>
      <c r="F31" s="8">
        <v>334543.94144632219</v>
      </c>
      <c r="G31" s="3">
        <v>4.6033409052480616</v>
      </c>
      <c r="H31" s="58">
        <v>0.19304697412116251</v>
      </c>
    </row>
    <row r="32" spans="1:8" ht="14.15" customHeight="1" x14ac:dyDescent="0.4">
      <c r="A32" s="44" t="s">
        <v>191</v>
      </c>
      <c r="B32" s="2" t="s">
        <v>192</v>
      </c>
      <c r="C32" s="43" t="s">
        <v>35</v>
      </c>
      <c r="D32" s="2" t="s">
        <v>35</v>
      </c>
      <c r="E32" s="8">
        <v>6615765.0329999998</v>
      </c>
      <c r="F32" s="8">
        <v>602444.37162472995</v>
      </c>
      <c r="G32" s="3">
        <v>9.1061935939333711</v>
      </c>
      <c r="H32" s="58">
        <v>0.34763763024875971</v>
      </c>
    </row>
    <row r="33" spans="1:8" ht="14.15" customHeight="1" x14ac:dyDescent="0.4">
      <c r="A33" s="44" t="s">
        <v>193</v>
      </c>
      <c r="B33" s="2" t="s">
        <v>194</v>
      </c>
      <c r="C33" s="43" t="s">
        <v>1201</v>
      </c>
      <c r="D33" s="2" t="s">
        <v>1201</v>
      </c>
      <c r="E33" s="8">
        <v>537542.625</v>
      </c>
      <c r="F33" s="8">
        <v>184954.1527667465</v>
      </c>
      <c r="G33" s="3">
        <v>34.407346350765479</v>
      </c>
      <c r="H33" s="58">
        <v>0.10672690525615899</v>
      </c>
    </row>
    <row r="34" spans="1:8" ht="14.15" customHeight="1" x14ac:dyDescent="0.4">
      <c r="A34" s="44" t="s">
        <v>195</v>
      </c>
      <c r="B34" s="2" t="s">
        <v>196</v>
      </c>
      <c r="C34" s="43" t="s">
        <v>7</v>
      </c>
      <c r="D34" s="2" t="s">
        <v>7</v>
      </c>
      <c r="E34" s="8">
        <v>18075257.304000001</v>
      </c>
      <c r="F34" s="8">
        <v>2908907.6643726099</v>
      </c>
      <c r="G34" s="3">
        <v>16.093312617623859</v>
      </c>
      <c r="H34" s="58">
        <v>1.678571192104797</v>
      </c>
    </row>
    <row r="35" spans="1:8" ht="14.15" customHeight="1" x14ac:dyDescent="0.4">
      <c r="A35" s="44" t="s">
        <v>197</v>
      </c>
      <c r="B35" s="2" t="s">
        <v>198</v>
      </c>
      <c r="C35" s="43" t="s">
        <v>35</v>
      </c>
      <c r="D35" s="2" t="s">
        <v>35</v>
      </c>
      <c r="E35" s="8">
        <v>12002882.873</v>
      </c>
      <c r="F35" s="8">
        <v>1963876.217458663</v>
      </c>
      <c r="G35" s="3">
        <v>16.361704419163519</v>
      </c>
      <c r="H35" s="58">
        <v>1.133245335993446</v>
      </c>
    </row>
    <row r="36" spans="1:8" ht="14.15" customHeight="1" x14ac:dyDescent="0.4">
      <c r="A36" s="44" t="s">
        <v>199</v>
      </c>
      <c r="B36" s="2" t="s">
        <v>200</v>
      </c>
      <c r="C36" s="43" t="s">
        <v>7</v>
      </c>
      <c r="D36" s="2" t="s">
        <v>7</v>
      </c>
      <c r="E36" s="8">
        <v>3142149.443</v>
      </c>
      <c r="F36" s="8">
        <v>599425.90347327176</v>
      </c>
      <c r="G36" s="3">
        <v>19.076938075261111</v>
      </c>
      <c r="H36" s="58">
        <v>0.34589583770395699</v>
      </c>
    </row>
    <row r="37" spans="1:8" ht="14.15" customHeight="1" x14ac:dyDescent="0.4">
      <c r="A37" s="44" t="s">
        <v>201</v>
      </c>
      <c r="B37" s="2" t="s">
        <v>202</v>
      </c>
      <c r="C37" s="43" t="s">
        <v>7</v>
      </c>
      <c r="D37" s="2" t="s">
        <v>7</v>
      </c>
      <c r="E37" s="8">
        <v>15628918.477</v>
      </c>
      <c r="F37" s="8">
        <v>9127291.6414709613</v>
      </c>
      <c r="G37" s="3">
        <v>58.400020800562537</v>
      </c>
      <c r="H37" s="58">
        <v>5.2668597903455412</v>
      </c>
    </row>
    <row r="38" spans="1:8" ht="14.15" customHeight="1" x14ac:dyDescent="0.4">
      <c r="A38" s="44" t="s">
        <v>203</v>
      </c>
      <c r="B38" s="2" t="s">
        <v>204</v>
      </c>
      <c r="C38" s="43" t="s">
        <v>707</v>
      </c>
      <c r="D38" s="2" t="s">
        <v>707</v>
      </c>
      <c r="E38" s="8">
        <v>39486135.498000003</v>
      </c>
      <c r="F38" s="8">
        <v>19709622.34069515</v>
      </c>
      <c r="G38" s="3">
        <v>49.915298349957418</v>
      </c>
      <c r="H38" s="58">
        <v>11.3733428783452</v>
      </c>
    </row>
    <row r="39" spans="1:8" ht="14.15" customHeight="1" x14ac:dyDescent="0.4">
      <c r="A39" s="44" t="s">
        <v>205</v>
      </c>
      <c r="B39" s="2" t="s">
        <v>206</v>
      </c>
      <c r="C39" s="43" t="s">
        <v>460</v>
      </c>
      <c r="D39" s="2" t="s">
        <v>460</v>
      </c>
      <c r="E39" s="8">
        <v>42246564.192000002</v>
      </c>
      <c r="F39" s="8">
        <v>18151680.414485831</v>
      </c>
      <c r="G39" s="3">
        <v>42.96605123197952</v>
      </c>
      <c r="H39" s="58">
        <v>10.474339974837349</v>
      </c>
    </row>
    <row r="40" spans="1:8" ht="14.15" customHeight="1" x14ac:dyDescent="0.4">
      <c r="A40" s="44" t="s">
        <v>207</v>
      </c>
      <c r="B40" s="2" t="s">
        <v>208</v>
      </c>
      <c r="C40" s="43" t="s">
        <v>21</v>
      </c>
      <c r="D40" s="2" t="s">
        <v>21</v>
      </c>
      <c r="E40" s="8">
        <v>2711718.443</v>
      </c>
      <c r="F40" s="8">
        <v>717328.91888990812</v>
      </c>
      <c r="G40" s="3">
        <v>26.452927690247972</v>
      </c>
      <c r="H40" s="58">
        <v>0.41393120629422753</v>
      </c>
    </row>
    <row r="41" spans="1:8" ht="14.15" customHeight="1" x14ac:dyDescent="0.4">
      <c r="A41" s="44" t="s">
        <v>209</v>
      </c>
      <c r="B41" s="2" t="s">
        <v>210</v>
      </c>
      <c r="C41" s="43" t="s">
        <v>359</v>
      </c>
      <c r="D41" s="2" t="s">
        <v>359</v>
      </c>
      <c r="E41" s="8">
        <v>11847908.986</v>
      </c>
      <c r="F41" s="8">
        <v>2890527.5780773959</v>
      </c>
      <c r="G41" s="3">
        <v>24.3969427980327</v>
      </c>
      <c r="H41" s="58">
        <v>1.667965051613844</v>
      </c>
    </row>
    <row r="42" spans="1:8" ht="14.15" customHeight="1" x14ac:dyDescent="0.4">
      <c r="A42" s="44" t="s">
        <v>211</v>
      </c>
      <c r="B42" s="2" t="s">
        <v>212</v>
      </c>
      <c r="C42" s="43" t="s">
        <v>359</v>
      </c>
      <c r="D42" s="2" t="s">
        <v>29</v>
      </c>
      <c r="E42" s="8">
        <v>22041825.129000001</v>
      </c>
      <c r="F42" s="8">
        <v>1644177.0324269419</v>
      </c>
      <c r="G42" s="3">
        <v>7.4593506790131032</v>
      </c>
      <c r="H42" s="58">
        <v>0.94876445724084735</v>
      </c>
    </row>
    <row r="43" spans="1:8" ht="14.15" customHeight="1" x14ac:dyDescent="0.4">
      <c r="A43" s="44" t="s">
        <v>213</v>
      </c>
      <c r="B43" s="2" t="s">
        <v>214</v>
      </c>
      <c r="C43" s="43" t="s">
        <v>460</v>
      </c>
      <c r="D43" s="2" t="s">
        <v>460</v>
      </c>
      <c r="E43" s="8">
        <v>1088197.581</v>
      </c>
      <c r="F43" s="8">
        <v>159317.1309200773</v>
      </c>
      <c r="G43" s="3">
        <v>14.640459940525931</v>
      </c>
      <c r="H43" s="58">
        <v>9.1933184970623014E-2</v>
      </c>
    </row>
    <row r="44" spans="1:8" ht="14.15" customHeight="1" x14ac:dyDescent="0.4">
      <c r="A44" s="44" t="s">
        <v>215</v>
      </c>
      <c r="B44" s="2" t="s">
        <v>216</v>
      </c>
      <c r="C44" s="43" t="s">
        <v>1202</v>
      </c>
      <c r="D44" s="2" t="s">
        <v>1202</v>
      </c>
      <c r="E44" s="8">
        <v>27329.15</v>
      </c>
      <c r="F44" s="8">
        <v>8670.2396626633108</v>
      </c>
      <c r="G44" s="3">
        <v>31.725244519728239</v>
      </c>
      <c r="H44" s="58">
        <v>5.0031201418453946E-3</v>
      </c>
    </row>
    <row r="45" spans="1:8" ht="14.15" customHeight="1" x14ac:dyDescent="0.4">
      <c r="A45" s="44" t="s">
        <v>217</v>
      </c>
      <c r="B45" s="2" t="s">
        <v>218</v>
      </c>
      <c r="C45" s="43" t="s">
        <v>7</v>
      </c>
      <c r="D45" s="2" t="s">
        <v>7</v>
      </c>
      <c r="E45" s="8">
        <v>4509074.1390000004</v>
      </c>
      <c r="F45" s="8">
        <v>673978.06318478624</v>
      </c>
      <c r="G45" s="3">
        <v>14.947149734252489</v>
      </c>
      <c r="H45" s="58">
        <v>0.38891580328541331</v>
      </c>
    </row>
    <row r="46" spans="1:8" ht="14.15" customHeight="1" x14ac:dyDescent="0.4">
      <c r="A46" s="44" t="s">
        <v>219</v>
      </c>
      <c r="B46" s="2" t="s">
        <v>220</v>
      </c>
      <c r="C46" s="43" t="s">
        <v>35</v>
      </c>
      <c r="D46" s="2" t="s">
        <v>35</v>
      </c>
      <c r="E46" s="8">
        <v>812414.86</v>
      </c>
      <c r="F46" s="8">
        <v>166964.88418552189</v>
      </c>
      <c r="G46" s="3">
        <v>20.551677770335459</v>
      </c>
      <c r="H46" s="58">
        <v>9.6346284249410039E-2</v>
      </c>
    </row>
    <row r="47" spans="1:8" ht="14.15" customHeight="1" x14ac:dyDescent="0.4">
      <c r="A47" s="44" t="s">
        <v>221</v>
      </c>
      <c r="B47" s="2" t="s">
        <v>222</v>
      </c>
      <c r="C47" s="43" t="s">
        <v>57</v>
      </c>
      <c r="D47" s="2" t="s">
        <v>57</v>
      </c>
      <c r="E47" s="8">
        <v>425566.53600000002</v>
      </c>
      <c r="F47" s="8">
        <v>84576.603627436765</v>
      </c>
      <c r="G47" s="3">
        <v>19.873884921120009</v>
      </c>
      <c r="H47" s="58">
        <v>4.8804522781475401E-2</v>
      </c>
    </row>
    <row r="48" spans="1:8" ht="14.15" customHeight="1" x14ac:dyDescent="0.4">
      <c r="A48" s="44" t="s">
        <v>223</v>
      </c>
      <c r="B48" s="2" t="s">
        <v>224</v>
      </c>
      <c r="C48" s="43" t="s">
        <v>7</v>
      </c>
      <c r="D48" s="2" t="s">
        <v>7</v>
      </c>
      <c r="E48" s="8">
        <v>11089856.834000001</v>
      </c>
      <c r="F48" s="8">
        <v>5250145.0198975122</v>
      </c>
      <c r="G48" s="3">
        <v>47.341864719130349</v>
      </c>
      <c r="H48" s="58">
        <v>3.029570959817026</v>
      </c>
    </row>
    <row r="49" spans="1:8" ht="14.15" customHeight="1" x14ac:dyDescent="0.4">
      <c r="A49" s="44" t="s">
        <v>225</v>
      </c>
      <c r="B49" s="2" t="s">
        <v>226</v>
      </c>
      <c r="C49" s="43" t="s">
        <v>21</v>
      </c>
      <c r="D49" s="2" t="s">
        <v>21</v>
      </c>
      <c r="E49" s="8">
        <v>3929443.5430000001</v>
      </c>
      <c r="F49" s="8">
        <v>579747.80535840557</v>
      </c>
      <c r="G49" s="3">
        <v>14.75394159539921</v>
      </c>
      <c r="H49" s="58">
        <v>0.33454068572867068</v>
      </c>
    </row>
    <row r="50" spans="1:8" ht="14.15" customHeight="1" x14ac:dyDescent="0.4">
      <c r="A50" s="44" t="s">
        <v>227</v>
      </c>
      <c r="B50" s="2" t="s">
        <v>228</v>
      </c>
      <c r="C50" s="43" t="s">
        <v>7</v>
      </c>
      <c r="D50" s="2" t="s">
        <v>7</v>
      </c>
      <c r="E50" s="8">
        <v>7397559.2570000002</v>
      </c>
      <c r="F50" s="8">
        <v>2356860.6164348051</v>
      </c>
      <c r="G50" s="3">
        <v>31.859976169905039</v>
      </c>
      <c r="H50" s="58">
        <v>1.360015095359542</v>
      </c>
    </row>
    <row r="51" spans="1:8" ht="14.15" customHeight="1" x14ac:dyDescent="0.4">
      <c r="A51" s="44" t="s">
        <v>229</v>
      </c>
      <c r="B51" s="2" t="s">
        <v>230</v>
      </c>
      <c r="C51" s="43" t="s">
        <v>359</v>
      </c>
      <c r="D51" s="2" t="s">
        <v>359</v>
      </c>
      <c r="E51" s="8">
        <v>33468761.923999999</v>
      </c>
      <c r="F51" s="8">
        <v>522717.7090710061</v>
      </c>
      <c r="G51" s="3">
        <v>1.5618077246418021</v>
      </c>
      <c r="H51" s="58">
        <v>0.30163174266270432</v>
      </c>
    </row>
    <row r="52" spans="1:8" ht="14.15" customHeight="1" x14ac:dyDescent="0.4">
      <c r="A52" s="44" t="s">
        <v>231</v>
      </c>
      <c r="B52" s="2" t="s">
        <v>232</v>
      </c>
      <c r="C52" s="43" t="s">
        <v>359</v>
      </c>
      <c r="D52" s="2" t="s">
        <v>359</v>
      </c>
      <c r="E52" s="8">
        <v>6778261.4469999997</v>
      </c>
      <c r="F52" s="8">
        <v>437409.65005871683</v>
      </c>
      <c r="G52" s="3">
        <v>6.4531244992373447</v>
      </c>
      <c r="H52" s="58">
        <v>0.25240513706562051</v>
      </c>
    </row>
    <row r="53" spans="1:8" ht="14.15" customHeight="1" x14ac:dyDescent="0.4">
      <c r="A53" s="44" t="s">
        <v>233</v>
      </c>
      <c r="B53" s="2" t="s">
        <v>234</v>
      </c>
      <c r="C53" s="43" t="s">
        <v>423</v>
      </c>
      <c r="D53" s="2" t="s">
        <v>423</v>
      </c>
      <c r="E53" s="8">
        <v>25188333.429000001</v>
      </c>
      <c r="F53" s="8">
        <v>1252463.5938744261</v>
      </c>
      <c r="G53" s="3">
        <v>4.9723956426288662</v>
      </c>
      <c r="H53" s="58">
        <v>0.7227280994809735</v>
      </c>
    </row>
    <row r="54" spans="1:8" ht="14.15" customHeight="1" x14ac:dyDescent="0.4">
      <c r="A54" s="44" t="s">
        <v>235</v>
      </c>
      <c r="B54" s="2" t="s">
        <v>236</v>
      </c>
      <c r="C54" s="43" t="s">
        <v>7</v>
      </c>
      <c r="D54" s="2" t="s">
        <v>7</v>
      </c>
      <c r="E54" s="8">
        <v>28120554.324000001</v>
      </c>
      <c r="F54" s="8">
        <v>1967617.7373398689</v>
      </c>
      <c r="G54" s="3">
        <v>6.9970801950392918</v>
      </c>
      <c r="H54" s="58">
        <v>1.135404362065054</v>
      </c>
    </row>
    <row r="55" spans="1:8" ht="14.15" customHeight="1" x14ac:dyDescent="0.4">
      <c r="A55" s="44" t="s">
        <v>237</v>
      </c>
      <c r="B55" s="2" t="s">
        <v>238</v>
      </c>
      <c r="C55" s="43" t="s">
        <v>839</v>
      </c>
      <c r="D55" s="2" t="s">
        <v>839</v>
      </c>
      <c r="E55" s="8">
        <v>19958366.568</v>
      </c>
      <c r="F55" s="8">
        <v>3473087.7032597959</v>
      </c>
      <c r="G55" s="3">
        <v>17.401663064092268</v>
      </c>
      <c r="H55" s="58">
        <v>2.0041285729853779</v>
      </c>
    </row>
    <row r="56" spans="1:8" ht="14.15" customHeight="1" x14ac:dyDescent="0.4">
      <c r="A56" s="44" t="s">
        <v>239</v>
      </c>
      <c r="B56" s="2" t="s">
        <v>240</v>
      </c>
      <c r="C56" s="43" t="s">
        <v>10</v>
      </c>
      <c r="D56" s="2" t="s">
        <v>10</v>
      </c>
      <c r="E56" s="8">
        <v>3996472.8670000001</v>
      </c>
      <c r="F56" s="8">
        <v>1060807.313892711</v>
      </c>
      <c r="G56" s="3">
        <v>26.54358853908645</v>
      </c>
      <c r="H56" s="58">
        <v>0.61213376391526786</v>
      </c>
    </row>
    <row r="57" spans="1:8" ht="14.15" customHeight="1" x14ac:dyDescent="0.4">
      <c r="A57" s="44" t="s">
        <v>241</v>
      </c>
      <c r="B57" s="2" t="s">
        <v>242</v>
      </c>
      <c r="C57" s="43" t="s">
        <v>568</v>
      </c>
      <c r="D57" s="2" t="s">
        <v>568</v>
      </c>
      <c r="E57" s="8">
        <v>8681087.6129999999</v>
      </c>
      <c r="F57" s="8">
        <v>289691.33580361732</v>
      </c>
      <c r="G57" s="3">
        <v>3.3370396512275962</v>
      </c>
      <c r="H57" s="58">
        <v>0.16716499352590711</v>
      </c>
    </row>
    <row r="58" spans="1:8" ht="14.15" customHeight="1" x14ac:dyDescent="0.4">
      <c r="A58" s="44" t="s">
        <v>243</v>
      </c>
      <c r="B58" s="2" t="s">
        <v>244</v>
      </c>
      <c r="C58" s="43" t="s">
        <v>423</v>
      </c>
      <c r="D58" s="2" t="s">
        <v>423</v>
      </c>
      <c r="E58" s="8">
        <v>2701960.9959999998</v>
      </c>
      <c r="F58" s="8">
        <v>123944.78801095449</v>
      </c>
      <c r="G58" s="3">
        <v>4.5872160328903009</v>
      </c>
      <c r="H58" s="58">
        <v>7.152174443859366E-2</v>
      </c>
    </row>
    <row r="59" spans="1:8" ht="14.15" customHeight="1" x14ac:dyDescent="0.4">
      <c r="A59" s="44" t="s">
        <v>245</v>
      </c>
      <c r="B59" s="2" t="s">
        <v>246</v>
      </c>
      <c r="C59" s="43" t="s">
        <v>412</v>
      </c>
      <c r="D59" s="2" t="s">
        <v>412</v>
      </c>
      <c r="E59" s="8">
        <v>2458214.7200000002</v>
      </c>
      <c r="F59" s="8">
        <v>237676.8036060812</v>
      </c>
      <c r="G59" s="3">
        <v>9.6686754689224728</v>
      </c>
      <c r="H59" s="58">
        <v>0.1371502576211075</v>
      </c>
    </row>
    <row r="60" spans="1:8" ht="14.15" customHeight="1" x14ac:dyDescent="0.4">
      <c r="A60" s="44" t="s">
        <v>247</v>
      </c>
      <c r="B60" s="2" t="s">
        <v>248</v>
      </c>
      <c r="C60" s="43" t="s">
        <v>423</v>
      </c>
      <c r="D60" s="2" t="s">
        <v>423</v>
      </c>
      <c r="E60" s="8">
        <v>3002228.9650000008</v>
      </c>
      <c r="F60" s="8">
        <v>322108.53011735377</v>
      </c>
      <c r="G60" s="3">
        <v>10.728979497316709</v>
      </c>
      <c r="H60" s="58">
        <v>0.1858711797587512</v>
      </c>
    </row>
    <row r="61" spans="1:8" ht="14.15" customHeight="1" x14ac:dyDescent="0.4">
      <c r="A61" s="44" t="s">
        <v>249</v>
      </c>
      <c r="B61" s="2" t="s">
        <v>250</v>
      </c>
      <c r="C61" s="43" t="s">
        <v>7</v>
      </c>
      <c r="D61" s="2" t="s">
        <v>7</v>
      </c>
      <c r="E61" s="8">
        <v>8420100.3890000004</v>
      </c>
      <c r="F61" s="8">
        <v>5199177.5701208627</v>
      </c>
      <c r="G61" s="3">
        <v>61.747215946653753</v>
      </c>
      <c r="H61" s="58">
        <v>3.000160437792573</v>
      </c>
    </row>
    <row r="62" spans="1:8" ht="14.15" customHeight="1" x14ac:dyDescent="0.4">
      <c r="A62" s="44" t="s">
        <v>251</v>
      </c>
      <c r="B62" s="2" t="s">
        <v>252</v>
      </c>
      <c r="C62" s="43" t="s">
        <v>460</v>
      </c>
      <c r="D62" s="2" t="s">
        <v>460</v>
      </c>
      <c r="E62" s="8">
        <v>19722773.666999999</v>
      </c>
      <c r="F62" s="8">
        <v>10834532.236896349</v>
      </c>
      <c r="G62" s="3">
        <v>54.934120422547913</v>
      </c>
      <c r="H62" s="58">
        <v>6.2520147736306413</v>
      </c>
    </row>
    <row r="63" spans="1:8" ht="14.15" customHeight="1" x14ac:dyDescent="0.4">
      <c r="A63" s="44" t="s">
        <v>253</v>
      </c>
      <c r="B63" s="2" t="s">
        <v>254</v>
      </c>
      <c r="C63" s="43" t="s">
        <v>707</v>
      </c>
      <c r="D63" s="2" t="s">
        <v>707</v>
      </c>
      <c r="E63" s="8">
        <v>12540703.268999999</v>
      </c>
      <c r="F63" s="8">
        <v>1487820.1877253151</v>
      </c>
      <c r="G63" s="3">
        <v>11.863929444875181</v>
      </c>
      <c r="H63" s="58">
        <v>0.85853949121011541</v>
      </c>
    </row>
    <row r="64" spans="1:8" ht="14.15" customHeight="1" x14ac:dyDescent="0.4">
      <c r="A64" s="44" t="s">
        <v>255</v>
      </c>
      <c r="B64" s="2" t="s">
        <v>256</v>
      </c>
      <c r="C64" s="43" t="s">
        <v>1203</v>
      </c>
      <c r="D64" s="2" t="s">
        <v>1203</v>
      </c>
      <c r="E64" s="8">
        <v>5816.52</v>
      </c>
      <c r="F64" s="8">
        <v>1983.2483256061801</v>
      </c>
      <c r="G64" s="3">
        <v>34.096819500426022</v>
      </c>
      <c r="H64" s="58">
        <v>1.144423917928178E-3</v>
      </c>
    </row>
    <row r="65" spans="1:8" ht="14.15" customHeight="1" x14ac:dyDescent="0.4">
      <c r="A65" s="44" t="s">
        <v>257</v>
      </c>
      <c r="B65" s="2" t="s">
        <v>258</v>
      </c>
      <c r="C65" s="43" t="s">
        <v>7</v>
      </c>
      <c r="D65" s="2" t="s">
        <v>7</v>
      </c>
      <c r="E65" s="8">
        <v>17823125.772999998</v>
      </c>
      <c r="F65" s="8">
        <v>1565212.5816065511</v>
      </c>
      <c r="G65" s="3">
        <v>8.7819196337472345</v>
      </c>
      <c r="H65" s="58">
        <v>0.90319840027352427</v>
      </c>
    </row>
    <row r="66" spans="1:8" ht="14.15" customHeight="1" x14ac:dyDescent="0.4">
      <c r="A66" s="44" t="s">
        <v>259</v>
      </c>
      <c r="B66" s="2" t="s">
        <v>260</v>
      </c>
      <c r="C66" s="43" t="s">
        <v>21</v>
      </c>
      <c r="D66" s="2" t="s">
        <v>21</v>
      </c>
      <c r="E66" s="8">
        <v>2851777.2059999998</v>
      </c>
      <c r="F66" s="8">
        <v>1217058.910735803</v>
      </c>
      <c r="G66" s="3">
        <v>42.677208730582841</v>
      </c>
      <c r="H66" s="58">
        <v>0.70229799717488728</v>
      </c>
    </row>
    <row r="67" spans="1:8" ht="14.15" customHeight="1" x14ac:dyDescent="0.4">
      <c r="A67" s="44" t="s">
        <v>261</v>
      </c>
      <c r="B67" s="2" t="s">
        <v>262</v>
      </c>
      <c r="C67" s="43" t="s">
        <v>839</v>
      </c>
      <c r="D67" s="2" t="s">
        <v>839</v>
      </c>
      <c r="E67" s="8">
        <v>9704502.6510000005</v>
      </c>
      <c r="F67" s="8">
        <v>627711.08919150149</v>
      </c>
      <c r="G67" s="3">
        <v>6.4682458418084829</v>
      </c>
      <c r="H67" s="58">
        <v>0.36221766822867901</v>
      </c>
    </row>
    <row r="68" spans="1:8" ht="14.15" customHeight="1" x14ac:dyDescent="0.4">
      <c r="A68" s="44" t="s">
        <v>263</v>
      </c>
      <c r="B68" s="2" t="s">
        <v>264</v>
      </c>
      <c r="C68" s="43" t="s">
        <v>1204</v>
      </c>
      <c r="D68" s="2" t="s">
        <v>1204</v>
      </c>
      <c r="E68" s="8">
        <v>27984282.690000001</v>
      </c>
      <c r="F68" s="8">
        <v>8640901.5703706983</v>
      </c>
      <c r="G68" s="3">
        <v>30.877695405280001</v>
      </c>
      <c r="H68" s="58">
        <v>4.9861907366405331</v>
      </c>
    </row>
    <row r="69" spans="1:8" ht="14.15" customHeight="1" x14ac:dyDescent="0.4">
      <c r="A69" s="44" t="s">
        <v>265</v>
      </c>
      <c r="B69" s="2" t="s">
        <v>266</v>
      </c>
      <c r="C69" s="43" t="s">
        <v>37</v>
      </c>
      <c r="D69" s="2" t="s">
        <v>37</v>
      </c>
      <c r="E69" s="8">
        <v>1749236.993</v>
      </c>
      <c r="F69" s="8">
        <v>162453.0653640191</v>
      </c>
      <c r="G69" s="3">
        <v>9.2870815112025902</v>
      </c>
      <c r="H69" s="58">
        <v>9.3742760875145686E-2</v>
      </c>
    </row>
    <row r="70" spans="1:8" ht="14.15" customHeight="1" x14ac:dyDescent="0.4">
      <c r="A70" s="44" t="s">
        <v>267</v>
      </c>
      <c r="B70" s="2" t="s">
        <v>268</v>
      </c>
      <c r="C70" s="43" t="s">
        <v>568</v>
      </c>
      <c r="D70" s="2" t="s">
        <v>568</v>
      </c>
      <c r="E70" s="8">
        <v>2532053.0890000002</v>
      </c>
      <c r="F70" s="8">
        <v>932854.98126962001</v>
      </c>
      <c r="G70" s="3">
        <v>36.841841323241709</v>
      </c>
      <c r="H70" s="58">
        <v>0.53829948511217807</v>
      </c>
    </row>
    <row r="71" spans="1:8" ht="14.15" customHeight="1" x14ac:dyDescent="0.4">
      <c r="A71" s="44" t="s">
        <v>269</v>
      </c>
      <c r="B71" s="2" t="s">
        <v>270</v>
      </c>
      <c r="C71" s="43" t="s">
        <v>802</v>
      </c>
      <c r="D71" s="2" t="s">
        <v>802</v>
      </c>
      <c r="E71" s="8">
        <v>8375942.9249999998</v>
      </c>
      <c r="F71" s="8">
        <v>1584083.4894052621</v>
      </c>
      <c r="G71" s="3">
        <v>18.912300425032591</v>
      </c>
      <c r="H71" s="58">
        <v>0.91408776695495653</v>
      </c>
    </row>
    <row r="72" spans="1:8" ht="14.15" customHeight="1" x14ac:dyDescent="0.4">
      <c r="A72" s="44" t="s">
        <v>271</v>
      </c>
      <c r="B72" s="2" t="s">
        <v>272</v>
      </c>
      <c r="C72" s="43" t="s">
        <v>423</v>
      </c>
      <c r="D72" s="2" t="s">
        <v>423</v>
      </c>
      <c r="E72" s="8">
        <v>7804921.0589999976</v>
      </c>
      <c r="F72" s="8">
        <v>1155826.8138402549</v>
      </c>
      <c r="G72" s="3">
        <v>14.808949444881961</v>
      </c>
      <c r="H72" s="58">
        <v>0.66696430984617516</v>
      </c>
    </row>
    <row r="73" spans="1:8" ht="14.15" customHeight="1" x14ac:dyDescent="0.4">
      <c r="A73" s="44" t="s">
        <v>273</v>
      </c>
      <c r="B73" s="2" t="s">
        <v>274</v>
      </c>
      <c r="C73" s="43" t="s">
        <v>412</v>
      </c>
      <c r="D73" s="2" t="s">
        <v>412</v>
      </c>
      <c r="E73" s="8">
        <v>2440340.375</v>
      </c>
      <c r="F73" s="8">
        <v>55928.267885434718</v>
      </c>
      <c r="G73" s="3">
        <v>2.2918224219207421</v>
      </c>
      <c r="H73" s="58">
        <v>3.2273138280261793E-2</v>
      </c>
    </row>
    <row r="74" spans="1:8" ht="14.15" customHeight="1" x14ac:dyDescent="0.4">
      <c r="A74" s="44" t="s">
        <v>275</v>
      </c>
      <c r="B74" s="2" t="s">
        <v>276</v>
      </c>
      <c r="C74" s="43" t="s">
        <v>409</v>
      </c>
      <c r="D74" s="2" t="s">
        <v>35</v>
      </c>
      <c r="E74" s="8">
        <v>13166371.956</v>
      </c>
      <c r="F74" s="8">
        <v>1175979.440370271</v>
      </c>
      <c r="G74" s="3">
        <v>8.9316893393275993</v>
      </c>
      <c r="H74" s="58">
        <v>0.67859328616358827</v>
      </c>
    </row>
    <row r="75" spans="1:8" ht="14.15" customHeight="1" x14ac:dyDescent="0.4">
      <c r="A75" s="44" t="s">
        <v>277</v>
      </c>
      <c r="B75" s="2" t="s">
        <v>278</v>
      </c>
      <c r="C75" s="43" t="s">
        <v>21</v>
      </c>
      <c r="D75" s="2" t="s">
        <v>21</v>
      </c>
      <c r="E75" s="8">
        <v>9857530.8320000004</v>
      </c>
      <c r="F75" s="8">
        <v>68871.722001382615</v>
      </c>
      <c r="G75" s="3">
        <v>0.69867112946588861</v>
      </c>
      <c r="H75" s="58">
        <v>3.9742096292047419E-2</v>
      </c>
    </row>
    <row r="76" spans="1:8" ht="14.15" customHeight="1" x14ac:dyDescent="0.4">
      <c r="A76" s="44" t="s">
        <v>279</v>
      </c>
      <c r="B76" s="2" t="s">
        <v>280</v>
      </c>
      <c r="C76" s="43" t="s">
        <v>12</v>
      </c>
      <c r="D76" s="2" t="s">
        <v>170</v>
      </c>
      <c r="E76" s="8">
        <v>49163.837</v>
      </c>
      <c r="F76" s="8">
        <v>0</v>
      </c>
      <c r="G76" s="3">
        <v>0</v>
      </c>
      <c r="H76" s="58">
        <v>0</v>
      </c>
    </row>
    <row r="77" spans="1:8" ht="14.15" customHeight="1" x14ac:dyDescent="0.4">
      <c r="A77" s="44" t="s">
        <v>281</v>
      </c>
      <c r="B77" s="2" t="s">
        <v>282</v>
      </c>
      <c r="C77" s="43" t="s">
        <v>7</v>
      </c>
      <c r="D77" s="2" t="s">
        <v>7</v>
      </c>
      <c r="E77" s="8">
        <v>1525798.3770000001</v>
      </c>
      <c r="F77" s="8">
        <v>176391.26626219609</v>
      </c>
      <c r="G77" s="3">
        <v>11.560588143304599</v>
      </c>
      <c r="H77" s="58">
        <v>0.1017857327384328</v>
      </c>
    </row>
    <row r="78" spans="1:8" ht="14.15" customHeight="1" x14ac:dyDescent="0.4">
      <c r="A78" s="44" t="s">
        <v>283</v>
      </c>
      <c r="B78" s="2" t="s">
        <v>284</v>
      </c>
      <c r="C78" s="43" t="s">
        <v>692</v>
      </c>
      <c r="D78" s="2" t="s">
        <v>692</v>
      </c>
      <c r="E78" s="8">
        <v>3629596.6170000001</v>
      </c>
      <c r="F78" s="8">
        <v>1549185.3362329351</v>
      </c>
      <c r="G78" s="3">
        <v>42.682025021099889</v>
      </c>
      <c r="H78" s="58">
        <v>0.89394995533233745</v>
      </c>
    </row>
    <row r="79" spans="1:8" ht="14.15" customHeight="1" x14ac:dyDescent="0.4">
      <c r="A79" s="44" t="s">
        <v>285</v>
      </c>
      <c r="B79" s="2" t="s">
        <v>286</v>
      </c>
      <c r="C79" s="43" t="s">
        <v>707</v>
      </c>
      <c r="D79" s="2" t="s">
        <v>707</v>
      </c>
      <c r="E79" s="8">
        <v>25997277.469999999</v>
      </c>
      <c r="F79" s="8">
        <v>11608907.58758115</v>
      </c>
      <c r="G79" s="3">
        <v>44.654320441736438</v>
      </c>
      <c r="H79" s="58">
        <v>6.6988643493169517</v>
      </c>
    </row>
    <row r="80" spans="1:8" ht="14.15" customHeight="1" x14ac:dyDescent="0.4">
      <c r="A80" s="44" t="s">
        <v>287</v>
      </c>
      <c r="B80" s="2" t="s">
        <v>288</v>
      </c>
      <c r="C80" s="43" t="s">
        <v>57</v>
      </c>
      <c r="D80" s="2" t="s">
        <v>57</v>
      </c>
      <c r="E80" s="8">
        <v>767849.44</v>
      </c>
      <c r="F80" s="8">
        <v>467482.19282007689</v>
      </c>
      <c r="G80" s="3">
        <v>60.882012601334573</v>
      </c>
      <c r="H80" s="58">
        <v>0.26975835338486243</v>
      </c>
    </row>
    <row r="81" spans="1:8" ht="14.15" customHeight="1" x14ac:dyDescent="0.4">
      <c r="A81" s="44" t="s">
        <v>289</v>
      </c>
      <c r="B81" s="2" t="s">
        <v>290</v>
      </c>
      <c r="C81" s="43" t="s">
        <v>57</v>
      </c>
      <c r="D81" s="2" t="s">
        <v>57</v>
      </c>
      <c r="E81" s="8">
        <v>415444.516</v>
      </c>
      <c r="F81" s="8">
        <v>28003.716704571591</v>
      </c>
      <c r="G81" s="3">
        <v>6.740663464329276</v>
      </c>
      <c r="H81" s="58">
        <v>1.615941018268657E-2</v>
      </c>
    </row>
    <row r="82" spans="1:8" ht="14.15" customHeight="1" x14ac:dyDescent="0.4">
      <c r="A82" s="44" t="s">
        <v>291</v>
      </c>
      <c r="B82" s="2" t="s">
        <v>292</v>
      </c>
      <c r="C82" s="43" t="s">
        <v>57</v>
      </c>
      <c r="D82" s="2" t="s">
        <v>57</v>
      </c>
      <c r="E82" s="8">
        <v>623103.44999999995</v>
      </c>
      <c r="F82" s="8">
        <v>101950.15715821891</v>
      </c>
      <c r="G82" s="3">
        <v>16.361674318801949</v>
      </c>
      <c r="H82" s="58">
        <v>5.8829848376521852E-2</v>
      </c>
    </row>
    <row r="83" spans="1:8" ht="14.15" customHeight="1" x14ac:dyDescent="0.4">
      <c r="A83" s="44" t="s">
        <v>293</v>
      </c>
      <c r="B83" s="2" t="s">
        <v>294</v>
      </c>
      <c r="C83" s="43" t="s">
        <v>57</v>
      </c>
      <c r="D83" s="2" t="s">
        <v>57</v>
      </c>
      <c r="E83" s="8">
        <v>1106928.274</v>
      </c>
      <c r="F83" s="8">
        <v>176205.31241957549</v>
      </c>
      <c r="G83" s="3">
        <v>15.91840379890554</v>
      </c>
      <c r="H83" s="58">
        <v>0.1016784289669494</v>
      </c>
    </row>
    <row r="84" spans="1:8" ht="14.15" customHeight="1" x14ac:dyDescent="0.4">
      <c r="A84" s="44" t="s">
        <v>295</v>
      </c>
      <c r="B84" s="2" t="s">
        <v>296</v>
      </c>
      <c r="C84" s="43" t="s">
        <v>57</v>
      </c>
      <c r="D84" s="2" t="s">
        <v>57</v>
      </c>
      <c r="E84" s="8">
        <v>782121.34299999999</v>
      </c>
      <c r="F84" s="8">
        <v>425194.51987469808</v>
      </c>
      <c r="G84" s="3">
        <v>54.364265044062108</v>
      </c>
      <c r="H84" s="58">
        <v>0.24535645487957869</v>
      </c>
    </row>
    <row r="85" spans="1:8" ht="14.15" customHeight="1" x14ac:dyDescent="0.4">
      <c r="A85" s="44" t="s">
        <v>297</v>
      </c>
      <c r="B85" s="2" t="s">
        <v>298</v>
      </c>
      <c r="C85" s="43" t="s">
        <v>57</v>
      </c>
      <c r="D85" s="2" t="s">
        <v>57</v>
      </c>
      <c r="E85" s="8">
        <v>1565077.425</v>
      </c>
      <c r="F85" s="8">
        <v>1350553.6304569161</v>
      </c>
      <c r="G85" s="3">
        <v>86.293087414312168</v>
      </c>
      <c r="H85" s="58">
        <v>0.77933048382492109</v>
      </c>
    </row>
    <row r="86" spans="1:8" ht="14.15" customHeight="1" x14ac:dyDescent="0.4">
      <c r="A86" s="44" t="s">
        <v>299</v>
      </c>
      <c r="B86" s="2" t="s">
        <v>300</v>
      </c>
      <c r="C86" s="43" t="s">
        <v>21</v>
      </c>
      <c r="D86" s="2" t="s">
        <v>21</v>
      </c>
      <c r="E86" s="8">
        <v>1010579.627</v>
      </c>
      <c r="F86" s="8">
        <v>204361.16993417521</v>
      </c>
      <c r="G86" s="3">
        <v>20.222173936045049</v>
      </c>
      <c r="H86" s="58">
        <v>0.11792563127311401</v>
      </c>
    </row>
    <row r="87" spans="1:8" ht="14.15" customHeight="1" x14ac:dyDescent="0.4">
      <c r="A87" s="44" t="s">
        <v>301</v>
      </c>
      <c r="B87" s="2" t="s">
        <v>302</v>
      </c>
      <c r="C87" s="43" t="s">
        <v>707</v>
      </c>
      <c r="D87" s="2" t="s">
        <v>707</v>
      </c>
      <c r="E87" s="8">
        <v>7301242.1209999993</v>
      </c>
      <c r="F87" s="8">
        <v>1275388.5190173669</v>
      </c>
      <c r="G87" s="3">
        <v>17.468103342978662</v>
      </c>
      <c r="H87" s="58">
        <v>0.73595681739368135</v>
      </c>
    </row>
    <row r="88" spans="1:8" ht="14.15" customHeight="1" x14ac:dyDescent="0.4">
      <c r="A88" s="44" t="s">
        <v>303</v>
      </c>
      <c r="B88" s="2" t="s">
        <v>304</v>
      </c>
      <c r="C88" s="43" t="s">
        <v>37</v>
      </c>
      <c r="D88" s="2" t="s">
        <v>37</v>
      </c>
      <c r="E88" s="8">
        <v>3469788.6159999999</v>
      </c>
      <c r="F88" s="8">
        <v>403912.11566985579</v>
      </c>
      <c r="G88" s="3">
        <v>11.64082773824674</v>
      </c>
      <c r="H88" s="58">
        <v>0.2330755457828359</v>
      </c>
    </row>
    <row r="89" spans="1:8" ht="14.15" customHeight="1" x14ac:dyDescent="0.4">
      <c r="A89" s="44" t="s">
        <v>305</v>
      </c>
      <c r="B89" s="2" t="s">
        <v>306</v>
      </c>
      <c r="C89" s="43" t="s">
        <v>7</v>
      </c>
      <c r="D89" s="2" t="s">
        <v>7</v>
      </c>
      <c r="E89" s="8">
        <v>844771.08299999998</v>
      </c>
      <c r="F89" s="8">
        <v>396540.48245819448</v>
      </c>
      <c r="G89" s="3">
        <v>46.940584311903407</v>
      </c>
      <c r="H89" s="58">
        <v>0.22882178025448721</v>
      </c>
    </row>
    <row r="90" spans="1:8" ht="14.15" customHeight="1" x14ac:dyDescent="0.4">
      <c r="A90" s="44" t="s">
        <v>307</v>
      </c>
      <c r="B90" s="2" t="s">
        <v>308</v>
      </c>
      <c r="C90" s="43" t="s">
        <v>29</v>
      </c>
      <c r="D90" s="2" t="s">
        <v>29</v>
      </c>
      <c r="E90" s="8">
        <v>1989106.737</v>
      </c>
      <c r="F90" s="8">
        <v>1064943.590226487</v>
      </c>
      <c r="G90" s="3">
        <v>53.538785547157239</v>
      </c>
      <c r="H90" s="58">
        <v>0.61452058230125395</v>
      </c>
    </row>
    <row r="91" spans="1:8" ht="14.15" customHeight="1" x14ac:dyDescent="0.4">
      <c r="A91" s="44" t="s">
        <v>309</v>
      </c>
      <c r="B91" s="2" t="s">
        <v>310</v>
      </c>
      <c r="C91" s="43" t="s">
        <v>7</v>
      </c>
      <c r="D91" s="2" t="s">
        <v>7</v>
      </c>
      <c r="E91" s="8">
        <v>5087577.33</v>
      </c>
      <c r="F91" s="8">
        <v>1809006.9689781941</v>
      </c>
      <c r="G91" s="3">
        <v>35.557336068603682</v>
      </c>
      <c r="H91" s="58">
        <v>1.043878780215092</v>
      </c>
    </row>
    <row r="92" spans="1:8" x14ac:dyDescent="0.4">
      <c r="A92" s="47" t="s">
        <v>88</v>
      </c>
      <c r="B92" s="49"/>
      <c r="C92" s="49"/>
      <c r="D92" s="49"/>
      <c r="E92" s="48">
        <f>SUM(E3:E91)</f>
        <v>768928319.47800064</v>
      </c>
      <c r="F92" s="48">
        <f>SUM(F3:F91)</f>
        <v>173296651.22663435</v>
      </c>
      <c r="G92" s="62">
        <f>SUM(F92/E92) * 100</f>
        <v>22.537426030072552</v>
      </c>
      <c r="H92" s="68"/>
    </row>
    <row r="93" spans="1:8" x14ac:dyDescent="0.4">
      <c r="A93" s="10"/>
    </row>
    <row r="96" spans="1:8" ht="26.15" customHeight="1" x14ac:dyDescent="0.4">
      <c r="A96" s="78" t="s">
        <v>1186</v>
      </c>
      <c r="B96" s="78"/>
      <c r="C96" s="78"/>
      <c r="D96" s="78"/>
      <c r="E96" s="78"/>
      <c r="F96" s="78"/>
      <c r="G96" s="78"/>
    </row>
    <row r="97" spans="1:7" x14ac:dyDescent="0.4">
      <c r="A97" s="19"/>
      <c r="B97" s="19"/>
      <c r="C97" s="19"/>
      <c r="D97" s="19"/>
      <c r="E97" s="19"/>
      <c r="F97" s="19"/>
      <c r="G97" s="19"/>
    </row>
    <row r="98" spans="1:7" ht="25" customHeight="1" x14ac:dyDescent="0.4">
      <c r="A98" s="78" t="s">
        <v>1226</v>
      </c>
      <c r="B98" s="78"/>
      <c r="C98" s="78"/>
      <c r="D98" s="78"/>
      <c r="E98" s="78"/>
      <c r="F98" s="78"/>
      <c r="G98" s="78"/>
    </row>
    <row r="99" spans="1:7" ht="26.15" customHeight="1" x14ac:dyDescent="0.4">
      <c r="A99" s="78" t="s">
        <v>1184</v>
      </c>
      <c r="B99" s="78"/>
      <c r="C99" s="78"/>
      <c r="D99" s="78"/>
      <c r="E99" s="78"/>
      <c r="F99" s="78"/>
      <c r="G99" s="78"/>
    </row>
    <row r="100" spans="1:7" ht="26.15" customHeight="1" x14ac:dyDescent="0.4">
      <c r="A100" s="78" t="s">
        <v>1205</v>
      </c>
      <c r="B100" s="78"/>
      <c r="C100" s="78"/>
      <c r="D100" s="78"/>
      <c r="E100" s="78"/>
      <c r="F100" s="78"/>
      <c r="G100" s="78"/>
    </row>
    <row r="101" spans="1:7" ht="35.25" customHeight="1" x14ac:dyDescent="0.4">
      <c r="A101" s="78" t="s">
        <v>1185</v>
      </c>
      <c r="B101" s="78"/>
      <c r="C101" s="78"/>
      <c r="D101" s="78"/>
      <c r="E101" s="78"/>
      <c r="F101" s="78"/>
      <c r="G101" s="78"/>
    </row>
    <row r="102" spans="1:7" x14ac:dyDescent="0.4">
      <c r="A102" s="78" t="s">
        <v>1206</v>
      </c>
      <c r="B102" s="78"/>
      <c r="C102" s="78"/>
      <c r="D102" s="78"/>
      <c r="E102" s="78"/>
      <c r="F102" s="78"/>
      <c r="G102" s="78"/>
    </row>
    <row r="103" spans="1:7" x14ac:dyDescent="0.4">
      <c r="A103" s="19"/>
    </row>
    <row r="104" spans="1:7" x14ac:dyDescent="0.4">
      <c r="A104" s="19"/>
    </row>
    <row r="105" spans="1:7" x14ac:dyDescent="0.4">
      <c r="A105" s="19"/>
    </row>
  </sheetData>
  <mergeCells count="7">
    <mergeCell ref="A102:G102"/>
    <mergeCell ref="A101:G101"/>
    <mergeCell ref="A1:H1"/>
    <mergeCell ref="A96:G96"/>
    <mergeCell ref="A98:G98"/>
    <mergeCell ref="A99:G99"/>
    <mergeCell ref="A100:G100"/>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01"/>
  <sheetViews>
    <sheetView workbookViewId="0">
      <pane ySplit="2" topLeftCell="A3" activePane="bottomLeft" state="frozen"/>
      <selection pane="bottomLeft" activeCell="A3" sqref="A3:XFD3"/>
    </sheetView>
  </sheetViews>
  <sheetFormatPr defaultRowHeight="14.6" x14ac:dyDescent="0.4"/>
  <cols>
    <col min="1" max="1" width="26.69140625" customWidth="1"/>
    <col min="2" max="2" width="18" customWidth="1"/>
    <col min="3" max="9" width="12.69140625" customWidth="1"/>
    <col min="10" max="10" width="14.84375" customWidth="1"/>
    <col min="11" max="11" width="13.3828125" customWidth="1"/>
    <col min="12" max="12" width="13.53515625" customWidth="1"/>
    <col min="13" max="13" width="24.53515625" customWidth="1"/>
    <col min="14" max="14" width="22.3046875" customWidth="1"/>
    <col min="15" max="15" width="23.53515625" customWidth="1"/>
  </cols>
  <sheetData>
    <row r="1" spans="1:15" s="21" customFormat="1" ht="23.15" customHeight="1" thickBot="1" x14ac:dyDescent="0.45">
      <c r="A1" s="79" t="s">
        <v>311</v>
      </c>
      <c r="B1" s="80"/>
      <c r="C1" s="81"/>
      <c r="D1" s="81"/>
      <c r="E1" s="81"/>
      <c r="F1" s="81"/>
      <c r="G1" s="81"/>
      <c r="H1" s="81"/>
      <c r="I1" s="81"/>
      <c r="J1" s="81"/>
      <c r="K1" s="81"/>
      <c r="L1" s="81"/>
      <c r="M1" s="81"/>
      <c r="N1" s="81"/>
      <c r="O1" s="82"/>
    </row>
    <row r="2" spans="1:15" s="21" customFormat="1" ht="23.15" customHeight="1" x14ac:dyDescent="0.4">
      <c r="A2" s="45" t="s">
        <v>127</v>
      </c>
      <c r="B2" s="46" t="s">
        <v>128</v>
      </c>
      <c r="C2" s="46" t="s">
        <v>116</v>
      </c>
      <c r="D2" s="46" t="s">
        <v>117</v>
      </c>
      <c r="E2" s="46" t="s">
        <v>118</v>
      </c>
      <c r="F2" s="46" t="s">
        <v>119</v>
      </c>
      <c r="G2" s="46" t="s">
        <v>120</v>
      </c>
      <c r="H2" s="46" t="s">
        <v>121</v>
      </c>
      <c r="I2" s="46" t="s">
        <v>122</v>
      </c>
      <c r="J2" s="46" t="s">
        <v>123</v>
      </c>
      <c r="K2" s="46" t="s">
        <v>124</v>
      </c>
      <c r="L2" s="46" t="s">
        <v>1166</v>
      </c>
      <c r="M2" s="46" t="s">
        <v>312</v>
      </c>
      <c r="N2" s="46" t="s">
        <v>313</v>
      </c>
      <c r="O2" s="59" t="s">
        <v>131</v>
      </c>
    </row>
    <row r="3" spans="1:15" x14ac:dyDescent="0.4">
      <c r="A3" s="27" t="s">
        <v>132</v>
      </c>
      <c r="B3" s="43" t="s">
        <v>133</v>
      </c>
      <c r="C3" s="8">
        <v>0</v>
      </c>
      <c r="D3" s="8">
        <v>0</v>
      </c>
      <c r="E3" s="8">
        <v>0</v>
      </c>
      <c r="F3" s="8">
        <v>0</v>
      </c>
      <c r="G3" s="8">
        <v>0</v>
      </c>
      <c r="H3" s="8">
        <v>475481.20208258199</v>
      </c>
      <c r="I3" s="8">
        <v>1333588.0269710701</v>
      </c>
      <c r="J3" s="8">
        <v>0</v>
      </c>
      <c r="K3" s="8">
        <v>0</v>
      </c>
      <c r="L3" s="8">
        <v>0</v>
      </c>
      <c r="M3" s="8">
        <v>1809069.2290536601</v>
      </c>
      <c r="N3" s="8">
        <v>3335668.56399999</v>
      </c>
      <c r="O3" s="70">
        <v>54.234082144069397</v>
      </c>
    </row>
    <row r="4" spans="1:15" x14ac:dyDescent="0.4">
      <c r="A4" s="27" t="s">
        <v>134</v>
      </c>
      <c r="B4" s="43" t="s">
        <v>135</v>
      </c>
      <c r="C4" s="8">
        <v>0</v>
      </c>
      <c r="D4" s="8">
        <v>0</v>
      </c>
      <c r="E4" s="8">
        <v>486385.24995188799</v>
      </c>
      <c r="F4" s="8">
        <v>0</v>
      </c>
      <c r="G4" s="8">
        <v>0</v>
      </c>
      <c r="H4" s="8">
        <v>0</v>
      </c>
      <c r="I4" s="8">
        <v>1242261.40428047</v>
      </c>
      <c r="J4" s="8">
        <v>0</v>
      </c>
      <c r="K4" s="8">
        <v>0</v>
      </c>
      <c r="L4" s="8">
        <v>0</v>
      </c>
      <c r="M4" s="8">
        <v>1728646.65423236</v>
      </c>
      <c r="N4" s="8">
        <v>2306022.605</v>
      </c>
      <c r="O4" s="70">
        <v>74.962259714378007</v>
      </c>
    </row>
    <row r="5" spans="1:15" x14ac:dyDescent="0.4">
      <c r="A5" s="27" t="s">
        <v>136</v>
      </c>
      <c r="B5" s="43" t="s">
        <v>137</v>
      </c>
      <c r="C5" s="8">
        <v>11078.333108892301</v>
      </c>
      <c r="D5" s="8">
        <v>27678.3711001263</v>
      </c>
      <c r="E5" s="8">
        <v>738661.63319045096</v>
      </c>
      <c r="F5" s="8">
        <v>10298.765105562499</v>
      </c>
      <c r="G5" s="8">
        <v>583.80975642136798</v>
      </c>
      <c r="H5" s="8">
        <v>1.7761172039623401E-3</v>
      </c>
      <c r="I5" s="8">
        <v>885.80540053209495</v>
      </c>
      <c r="J5" s="8">
        <v>0</v>
      </c>
      <c r="K5" s="8">
        <v>0</v>
      </c>
      <c r="L5" s="8">
        <v>0</v>
      </c>
      <c r="M5" s="8">
        <v>789186.71943810303</v>
      </c>
      <c r="N5" s="8">
        <v>1232986.28</v>
      </c>
      <c r="O5" s="70">
        <v>64.006123364008801</v>
      </c>
    </row>
    <row r="6" spans="1:15" x14ac:dyDescent="0.4">
      <c r="A6" s="27" t="s">
        <v>138</v>
      </c>
      <c r="B6" s="43" t="s">
        <v>139</v>
      </c>
      <c r="C6" s="8">
        <v>190435.96569520401</v>
      </c>
      <c r="D6" s="8">
        <v>0</v>
      </c>
      <c r="E6" s="8">
        <v>223170.69232152501</v>
      </c>
      <c r="F6" s="8">
        <v>0</v>
      </c>
      <c r="G6" s="8">
        <v>6781.1311454494198</v>
      </c>
      <c r="H6" s="8">
        <v>0</v>
      </c>
      <c r="I6" s="8">
        <v>5111.4624368365203</v>
      </c>
      <c r="J6" s="8">
        <v>0</v>
      </c>
      <c r="K6" s="8">
        <v>0</v>
      </c>
      <c r="L6" s="8">
        <v>0</v>
      </c>
      <c r="M6" s="8">
        <v>425499.25159901503</v>
      </c>
      <c r="N6" s="8">
        <v>9517104.3009999897</v>
      </c>
      <c r="O6" s="70">
        <v>4.4708898646230697</v>
      </c>
    </row>
    <row r="7" spans="1:15" x14ac:dyDescent="0.4">
      <c r="A7" s="27" t="s">
        <v>140</v>
      </c>
      <c r="B7" s="43" t="s">
        <v>141</v>
      </c>
      <c r="C7" s="8">
        <v>27.768816427564001</v>
      </c>
      <c r="D7" s="8">
        <v>0</v>
      </c>
      <c r="E7" s="8">
        <v>19950.390646644399</v>
      </c>
      <c r="F7" s="8">
        <v>5819.92747392411</v>
      </c>
      <c r="G7" s="8">
        <v>61477.154194461902</v>
      </c>
      <c r="H7" s="8">
        <v>601.04641550308702</v>
      </c>
      <c r="I7" s="8">
        <v>19291.2264734206</v>
      </c>
      <c r="J7" s="8">
        <v>0</v>
      </c>
      <c r="K7" s="8">
        <v>0</v>
      </c>
      <c r="L7" s="8">
        <v>0</v>
      </c>
      <c r="M7" s="8">
        <v>107167.514020381</v>
      </c>
      <c r="N7" s="8">
        <v>657499.64399999997</v>
      </c>
      <c r="O7" s="70">
        <v>16.299250501249201</v>
      </c>
    </row>
    <row r="8" spans="1:15" x14ac:dyDescent="0.4">
      <c r="A8" s="27" t="s">
        <v>142</v>
      </c>
      <c r="B8" s="43" t="s">
        <v>143</v>
      </c>
      <c r="C8" s="8">
        <v>23938.182874418198</v>
      </c>
      <c r="D8" s="8">
        <v>0</v>
      </c>
      <c r="E8" s="8">
        <v>225150.69485647301</v>
      </c>
      <c r="F8" s="8">
        <v>33905.845177749703</v>
      </c>
      <c r="G8" s="8">
        <v>592.71308685973099</v>
      </c>
      <c r="H8" s="8">
        <v>0</v>
      </c>
      <c r="I8" s="8">
        <v>45525.569755046403</v>
      </c>
      <c r="J8" s="8">
        <v>0</v>
      </c>
      <c r="K8" s="8">
        <v>0</v>
      </c>
      <c r="L8" s="8">
        <v>0</v>
      </c>
      <c r="M8" s="8">
        <v>329113.00575054798</v>
      </c>
      <c r="N8" s="8">
        <v>13674532.530999999</v>
      </c>
      <c r="O8" s="70">
        <v>2.4067587320038299</v>
      </c>
    </row>
    <row r="9" spans="1:15" x14ac:dyDescent="0.4">
      <c r="A9" s="27" t="s">
        <v>144</v>
      </c>
      <c r="B9" s="43" t="s">
        <v>145</v>
      </c>
      <c r="C9" s="8">
        <v>169069.616333032</v>
      </c>
      <c r="D9" s="8">
        <v>0</v>
      </c>
      <c r="E9" s="8">
        <v>924940.45654415595</v>
      </c>
      <c r="F9" s="8">
        <v>4880.3049068734399</v>
      </c>
      <c r="G9" s="8">
        <v>131265.880510552</v>
      </c>
      <c r="H9" s="8">
        <v>12201.525424326999</v>
      </c>
      <c r="I9" s="8">
        <v>259451.53449286599</v>
      </c>
      <c r="J9" s="8">
        <v>0</v>
      </c>
      <c r="K9" s="8">
        <v>0</v>
      </c>
      <c r="L9" s="8">
        <v>0</v>
      </c>
      <c r="M9" s="8">
        <v>1501809.3182118</v>
      </c>
      <c r="N9" s="8">
        <v>27219895.217</v>
      </c>
      <c r="O9" s="70">
        <v>5.5173221874633196</v>
      </c>
    </row>
    <row r="10" spans="1:15" x14ac:dyDescent="0.4">
      <c r="A10" s="27" t="s">
        <v>146</v>
      </c>
      <c r="B10" s="43" t="s">
        <v>147</v>
      </c>
      <c r="C10" s="8">
        <v>0</v>
      </c>
      <c r="D10" s="8">
        <v>0</v>
      </c>
      <c r="E10" s="8">
        <v>248089.57428208101</v>
      </c>
      <c r="F10" s="8">
        <v>707.45829591295899</v>
      </c>
      <c r="G10" s="8">
        <v>7236.1390135786096</v>
      </c>
      <c r="H10" s="8">
        <v>0</v>
      </c>
      <c r="I10" s="8">
        <v>72076.631760572505</v>
      </c>
      <c r="J10" s="8">
        <v>0</v>
      </c>
      <c r="K10" s="8">
        <v>0</v>
      </c>
      <c r="L10" s="8">
        <v>0</v>
      </c>
      <c r="M10" s="8">
        <v>328109.80335214501</v>
      </c>
      <c r="N10" s="8">
        <v>5635422.2470000004</v>
      </c>
      <c r="O10" s="70">
        <v>5.8222754031752197</v>
      </c>
    </row>
    <row r="11" spans="1:15" x14ac:dyDescent="0.4">
      <c r="A11" s="27" t="s">
        <v>148</v>
      </c>
      <c r="B11" s="43" t="s">
        <v>149</v>
      </c>
      <c r="C11" s="8">
        <v>0</v>
      </c>
      <c r="D11" s="8">
        <v>0</v>
      </c>
      <c r="E11" s="8">
        <v>0</v>
      </c>
      <c r="F11" s="8">
        <v>85.028300176467397</v>
      </c>
      <c r="G11" s="8">
        <v>480.33740145025303</v>
      </c>
      <c r="H11" s="8">
        <v>111487.681297331</v>
      </c>
      <c r="I11" s="8">
        <v>381188.22825629899</v>
      </c>
      <c r="J11" s="8">
        <v>0</v>
      </c>
      <c r="K11" s="8">
        <v>0</v>
      </c>
      <c r="L11" s="8">
        <v>0</v>
      </c>
      <c r="M11" s="8">
        <v>493241.27525525697</v>
      </c>
      <c r="N11" s="8">
        <v>7379719.2189999903</v>
      </c>
      <c r="O11" s="70">
        <v>6.68374040553394</v>
      </c>
    </row>
    <row r="12" spans="1:15" x14ac:dyDescent="0.4">
      <c r="A12" s="27" t="s">
        <v>150</v>
      </c>
      <c r="B12" s="43" t="s">
        <v>151</v>
      </c>
      <c r="C12" s="8">
        <v>0</v>
      </c>
      <c r="D12" s="8">
        <v>0</v>
      </c>
      <c r="E12" s="8">
        <v>3158123.7721151002</v>
      </c>
      <c r="F12" s="8">
        <v>66.252326345780006</v>
      </c>
      <c r="G12" s="8">
        <v>160685.441072243</v>
      </c>
      <c r="H12" s="8">
        <v>182875.554582396</v>
      </c>
      <c r="I12" s="8">
        <v>1250575.32780453</v>
      </c>
      <c r="J12" s="8">
        <v>0</v>
      </c>
      <c r="K12" s="8">
        <v>0</v>
      </c>
      <c r="L12" s="8">
        <v>0</v>
      </c>
      <c r="M12" s="8">
        <v>4752326.34790063</v>
      </c>
      <c r="N12" s="8">
        <v>12256457.234999999</v>
      </c>
      <c r="O12" s="70">
        <v>38.774062168060297</v>
      </c>
    </row>
    <row r="13" spans="1:15" x14ac:dyDescent="0.4">
      <c r="A13" s="27" t="s">
        <v>152</v>
      </c>
      <c r="B13" s="43" t="s">
        <v>153</v>
      </c>
      <c r="C13" s="8">
        <v>89887.505316734299</v>
      </c>
      <c r="D13" s="8">
        <v>0</v>
      </c>
      <c r="E13" s="8">
        <v>1140570.2772713299</v>
      </c>
      <c r="F13" s="8">
        <v>396.21841256392798</v>
      </c>
      <c r="G13" s="8">
        <v>0</v>
      </c>
      <c r="H13" s="8">
        <v>0.84530987212476105</v>
      </c>
      <c r="I13" s="8">
        <v>0</v>
      </c>
      <c r="J13" s="8">
        <v>0</v>
      </c>
      <c r="K13" s="8">
        <v>0</v>
      </c>
      <c r="L13" s="8">
        <v>0</v>
      </c>
      <c r="M13" s="8">
        <v>1230854.8463105001</v>
      </c>
      <c r="N13" s="8">
        <v>8430171.7320000008</v>
      </c>
      <c r="O13" s="70">
        <v>14.6005904202202</v>
      </c>
    </row>
    <row r="14" spans="1:15" x14ac:dyDescent="0.4">
      <c r="A14" s="27" t="s">
        <v>154</v>
      </c>
      <c r="B14" s="43" t="s">
        <v>155</v>
      </c>
      <c r="C14" s="8">
        <v>0</v>
      </c>
      <c r="D14" s="8">
        <v>0</v>
      </c>
      <c r="E14" s="8">
        <v>0</v>
      </c>
      <c r="F14" s="8">
        <v>0</v>
      </c>
      <c r="G14" s="8">
        <v>0</v>
      </c>
      <c r="H14" s="8">
        <v>0</v>
      </c>
      <c r="I14" s="8">
        <v>1179902.4764707501</v>
      </c>
      <c r="J14" s="8">
        <v>0</v>
      </c>
      <c r="K14" s="8">
        <v>0</v>
      </c>
      <c r="L14" s="8">
        <v>0</v>
      </c>
      <c r="M14" s="8">
        <v>1179902.4764707501</v>
      </c>
      <c r="N14" s="8">
        <v>3462433.034</v>
      </c>
      <c r="O14" s="70">
        <v>34.077264885255097</v>
      </c>
    </row>
    <row r="15" spans="1:15" x14ac:dyDescent="0.4">
      <c r="A15" s="27" t="s">
        <v>156</v>
      </c>
      <c r="B15" s="43" t="s">
        <v>157</v>
      </c>
      <c r="C15" s="8">
        <v>0</v>
      </c>
      <c r="D15" s="8">
        <v>0</v>
      </c>
      <c r="E15" s="8">
        <v>1166490.72523913</v>
      </c>
      <c r="F15" s="8">
        <v>0</v>
      </c>
      <c r="G15" s="8">
        <v>0</v>
      </c>
      <c r="H15" s="8">
        <v>495953.58871989598</v>
      </c>
      <c r="I15" s="8">
        <v>722825.27319645905</v>
      </c>
      <c r="J15" s="8">
        <v>0</v>
      </c>
      <c r="K15" s="8">
        <v>0</v>
      </c>
      <c r="L15" s="8">
        <v>0</v>
      </c>
      <c r="M15" s="8">
        <v>2385269.5871554902</v>
      </c>
      <c r="N15" s="8">
        <v>7675587.4890000001</v>
      </c>
      <c r="O15" s="70">
        <v>31.076052361775002</v>
      </c>
    </row>
    <row r="16" spans="1:15" x14ac:dyDescent="0.4">
      <c r="A16" s="27" t="s">
        <v>158</v>
      </c>
      <c r="B16" s="43" t="s">
        <v>159</v>
      </c>
      <c r="C16" s="8">
        <v>71.119343274316805</v>
      </c>
      <c r="D16" s="8">
        <v>0</v>
      </c>
      <c r="E16" s="8">
        <v>191241.97981194101</v>
      </c>
      <c r="F16" s="8">
        <v>3054.15310849039</v>
      </c>
      <c r="G16" s="8">
        <v>0</v>
      </c>
      <c r="H16" s="8">
        <v>0</v>
      </c>
      <c r="I16" s="8">
        <v>25302.535477416499</v>
      </c>
      <c r="J16" s="8">
        <v>0</v>
      </c>
      <c r="K16" s="8">
        <v>0</v>
      </c>
      <c r="L16" s="8">
        <v>0</v>
      </c>
      <c r="M16" s="8">
        <v>219669.78774112201</v>
      </c>
      <c r="N16" s="8">
        <v>1464207.9029999899</v>
      </c>
      <c r="O16" s="70">
        <v>15.0026363941243</v>
      </c>
    </row>
    <row r="17" spans="1:15" x14ac:dyDescent="0.4">
      <c r="A17" s="27" t="s">
        <v>160</v>
      </c>
      <c r="B17" s="43" t="s">
        <v>161</v>
      </c>
      <c r="C17" s="8">
        <v>0</v>
      </c>
      <c r="D17" s="8">
        <v>0</v>
      </c>
      <c r="E17" s="8">
        <v>0</v>
      </c>
      <c r="F17" s="8">
        <v>0</v>
      </c>
      <c r="G17" s="8">
        <v>0</v>
      </c>
      <c r="H17" s="8">
        <v>0</v>
      </c>
      <c r="I17" s="8">
        <v>8265172.5461304896</v>
      </c>
      <c r="J17" s="8">
        <v>0</v>
      </c>
      <c r="K17" s="8">
        <v>0</v>
      </c>
      <c r="L17" s="8">
        <v>0</v>
      </c>
      <c r="M17" s="8">
        <v>8265172.5461304896</v>
      </c>
      <c r="N17" s="8">
        <v>10164043.99</v>
      </c>
      <c r="O17" s="70">
        <v>81.317756537282506</v>
      </c>
    </row>
    <row r="18" spans="1:15" x14ac:dyDescent="0.4">
      <c r="A18" s="27" t="s">
        <v>162</v>
      </c>
      <c r="B18" s="43" t="s">
        <v>163</v>
      </c>
      <c r="C18" s="8">
        <v>0</v>
      </c>
      <c r="D18" s="8">
        <v>11777.847488113301</v>
      </c>
      <c r="E18" s="8">
        <v>939272.61802232696</v>
      </c>
      <c r="F18" s="8">
        <v>1228.7097646729101</v>
      </c>
      <c r="G18" s="8">
        <v>203043.55250310199</v>
      </c>
      <c r="H18" s="8">
        <v>0</v>
      </c>
      <c r="I18" s="8">
        <v>2202036.2137447302</v>
      </c>
      <c r="J18" s="8">
        <v>0</v>
      </c>
      <c r="K18" s="8">
        <v>0</v>
      </c>
      <c r="L18" s="8">
        <v>0</v>
      </c>
      <c r="M18" s="8">
        <v>3357358.9415229498</v>
      </c>
      <c r="N18" s="8">
        <v>30409436.976</v>
      </c>
      <c r="O18" s="70">
        <v>11.040516613881</v>
      </c>
    </row>
    <row r="19" spans="1:15" x14ac:dyDescent="0.4">
      <c r="A19" s="27" t="s">
        <v>164</v>
      </c>
      <c r="B19" s="43" t="s">
        <v>165</v>
      </c>
      <c r="C19" s="8">
        <v>86966.588650998296</v>
      </c>
      <c r="D19" s="8">
        <v>0</v>
      </c>
      <c r="E19" s="8">
        <v>129148.653180112</v>
      </c>
      <c r="F19" s="8">
        <v>0</v>
      </c>
      <c r="G19" s="8">
        <v>24411.613689110702</v>
      </c>
      <c r="H19" s="8">
        <v>0</v>
      </c>
      <c r="I19" s="8">
        <v>0</v>
      </c>
      <c r="J19" s="8">
        <v>0</v>
      </c>
      <c r="K19" s="8">
        <v>0</v>
      </c>
      <c r="L19" s="8">
        <v>0</v>
      </c>
      <c r="M19" s="8">
        <v>240526.855520221</v>
      </c>
      <c r="N19" s="8">
        <v>7385346.3959999997</v>
      </c>
      <c r="O19" s="70">
        <v>3.2568121063420001</v>
      </c>
    </row>
    <row r="20" spans="1:15" x14ac:dyDescent="0.4">
      <c r="A20" s="27" t="s">
        <v>166</v>
      </c>
      <c r="B20" s="43" t="s">
        <v>167</v>
      </c>
      <c r="C20" s="8">
        <v>984436.79660672601</v>
      </c>
      <c r="D20" s="8">
        <v>0</v>
      </c>
      <c r="E20" s="8">
        <v>564226.85194178601</v>
      </c>
      <c r="F20" s="8">
        <v>0</v>
      </c>
      <c r="G20" s="8">
        <v>0</v>
      </c>
      <c r="H20" s="8">
        <v>0</v>
      </c>
      <c r="I20" s="8">
        <v>3308674.4187598298</v>
      </c>
      <c r="J20" s="8">
        <v>0</v>
      </c>
      <c r="K20" s="8">
        <v>0</v>
      </c>
      <c r="L20" s="8">
        <v>0</v>
      </c>
      <c r="M20" s="8">
        <v>4857338.0673083402</v>
      </c>
      <c r="N20" s="8">
        <v>12912208.812000001</v>
      </c>
      <c r="O20" s="70">
        <v>37.618180886249</v>
      </c>
    </row>
    <row r="21" spans="1:15" x14ac:dyDescent="0.4">
      <c r="A21" s="27" t="s">
        <v>168</v>
      </c>
      <c r="B21" s="43" t="s">
        <v>169</v>
      </c>
      <c r="C21" s="8">
        <v>0</v>
      </c>
      <c r="D21" s="8">
        <v>0</v>
      </c>
      <c r="E21" s="8">
        <v>0</v>
      </c>
      <c r="F21" s="8">
        <v>0</v>
      </c>
      <c r="G21" s="8">
        <v>0</v>
      </c>
      <c r="H21" s="8">
        <v>0</v>
      </c>
      <c r="I21" s="8">
        <v>0</v>
      </c>
      <c r="J21" s="8">
        <v>0</v>
      </c>
      <c r="K21" s="8">
        <v>0</v>
      </c>
      <c r="L21" s="8">
        <v>0</v>
      </c>
      <c r="M21" s="8">
        <v>0</v>
      </c>
      <c r="N21" s="8">
        <v>17167.102999999999</v>
      </c>
      <c r="O21" s="70">
        <v>0</v>
      </c>
    </row>
    <row r="22" spans="1:15" x14ac:dyDescent="0.4">
      <c r="A22" s="27" t="s">
        <v>171</v>
      </c>
      <c r="B22" s="43" t="s">
        <v>172</v>
      </c>
      <c r="C22" s="8">
        <v>0</v>
      </c>
      <c r="D22" s="8">
        <v>0</v>
      </c>
      <c r="E22" s="8">
        <v>142640.22390738901</v>
      </c>
      <c r="F22" s="8">
        <v>1921.3502904756699</v>
      </c>
      <c r="G22" s="8">
        <v>0</v>
      </c>
      <c r="H22" s="8">
        <v>39064.714429152402</v>
      </c>
      <c r="I22" s="8">
        <v>35405.117251379299</v>
      </c>
      <c r="J22" s="8">
        <v>0</v>
      </c>
      <c r="K22" s="8">
        <v>0</v>
      </c>
      <c r="L22" s="8">
        <v>0</v>
      </c>
      <c r="M22" s="8">
        <v>219031.40587839601</v>
      </c>
      <c r="N22" s="8">
        <v>2092228.9550000001</v>
      </c>
      <c r="O22" s="70">
        <v>10.468806741009599</v>
      </c>
    </row>
    <row r="23" spans="1:15" x14ac:dyDescent="0.4">
      <c r="A23" s="27" t="s">
        <v>173</v>
      </c>
      <c r="B23" s="43" t="s">
        <v>174</v>
      </c>
      <c r="C23" s="8">
        <v>38760.110336873302</v>
      </c>
      <c r="D23" s="8">
        <v>0</v>
      </c>
      <c r="E23" s="8">
        <v>142817.67536860699</v>
      </c>
      <c r="F23" s="8">
        <v>0</v>
      </c>
      <c r="G23" s="8">
        <v>36726.732661640199</v>
      </c>
      <c r="H23" s="8">
        <v>2648.5583744902201</v>
      </c>
      <c r="I23" s="8">
        <v>1016465.54048446</v>
      </c>
      <c r="J23" s="8">
        <v>0</v>
      </c>
      <c r="K23" s="8">
        <v>0</v>
      </c>
      <c r="L23" s="8">
        <v>0</v>
      </c>
      <c r="M23" s="8">
        <v>1237418.61722607</v>
      </c>
      <c r="N23" s="8">
        <v>8360871.2699999996</v>
      </c>
      <c r="O23" s="70">
        <v>14.800115649024599</v>
      </c>
    </row>
    <row r="24" spans="1:15" x14ac:dyDescent="0.4">
      <c r="A24" s="27" t="s">
        <v>175</v>
      </c>
      <c r="B24" s="43" t="s">
        <v>176</v>
      </c>
      <c r="C24" s="8">
        <v>42085.074771192303</v>
      </c>
      <c r="D24" s="8">
        <v>0</v>
      </c>
      <c r="E24" s="8">
        <v>250298.48201131899</v>
      </c>
      <c r="F24" s="8">
        <v>0</v>
      </c>
      <c r="G24" s="8">
        <v>28928.807696625099</v>
      </c>
      <c r="H24" s="8">
        <v>4322.8269901671702</v>
      </c>
      <c r="I24" s="8">
        <v>0</v>
      </c>
      <c r="J24" s="8">
        <v>0</v>
      </c>
      <c r="K24" s="8">
        <v>0</v>
      </c>
      <c r="L24" s="8">
        <v>0</v>
      </c>
      <c r="M24" s="8">
        <v>325635.19146930397</v>
      </c>
      <c r="N24" s="8">
        <v>10699767.931</v>
      </c>
      <c r="O24" s="70">
        <v>3.0433855534927501</v>
      </c>
    </row>
    <row r="25" spans="1:15" x14ac:dyDescent="0.4">
      <c r="A25" s="27" t="s">
        <v>177</v>
      </c>
      <c r="B25" s="43" t="s">
        <v>178</v>
      </c>
      <c r="C25" s="8">
        <v>0</v>
      </c>
      <c r="D25" s="8">
        <v>0</v>
      </c>
      <c r="E25" s="8">
        <v>619445.38834476296</v>
      </c>
      <c r="F25" s="8">
        <v>0</v>
      </c>
      <c r="G25" s="8">
        <v>67371.066315188204</v>
      </c>
      <c r="H25" s="8">
        <v>179431.52824941601</v>
      </c>
      <c r="I25" s="8">
        <v>12317.533034846399</v>
      </c>
      <c r="J25" s="8">
        <v>0</v>
      </c>
      <c r="K25" s="8">
        <v>0</v>
      </c>
      <c r="L25" s="8">
        <v>0</v>
      </c>
      <c r="M25" s="8">
        <v>878565.51594421396</v>
      </c>
      <c r="N25" s="8">
        <v>2843199.4350000001</v>
      </c>
      <c r="O25" s="70">
        <v>30.9005940676902</v>
      </c>
    </row>
    <row r="26" spans="1:15" x14ac:dyDescent="0.4">
      <c r="A26" s="27" t="s">
        <v>179</v>
      </c>
      <c r="B26" s="43" t="s">
        <v>180</v>
      </c>
      <c r="C26" s="8">
        <v>0</v>
      </c>
      <c r="D26" s="8">
        <v>0</v>
      </c>
      <c r="E26" s="8">
        <v>0</v>
      </c>
      <c r="F26" s="8">
        <v>0</v>
      </c>
      <c r="G26" s="8">
        <v>209.12077650973399</v>
      </c>
      <c r="H26" s="8">
        <v>129619.85512355099</v>
      </c>
      <c r="I26" s="8">
        <v>0</v>
      </c>
      <c r="J26" s="8">
        <v>0</v>
      </c>
      <c r="K26" s="8">
        <v>0</v>
      </c>
      <c r="L26" s="8">
        <v>0</v>
      </c>
      <c r="M26" s="8">
        <v>129828.97590006101</v>
      </c>
      <c r="N26" s="8">
        <v>5805108.1210000003</v>
      </c>
      <c r="O26" s="70">
        <v>2.23646094429153</v>
      </c>
    </row>
    <row r="27" spans="1:15" x14ac:dyDescent="0.4">
      <c r="A27" s="27" t="s">
        <v>181</v>
      </c>
      <c r="B27" s="43" t="s">
        <v>182</v>
      </c>
      <c r="C27" s="8">
        <v>0</v>
      </c>
      <c r="D27" s="8">
        <v>0</v>
      </c>
      <c r="E27" s="8">
        <v>172072.155449143</v>
      </c>
      <c r="F27" s="8">
        <v>0</v>
      </c>
      <c r="G27" s="8">
        <v>3782.2313017381998</v>
      </c>
      <c r="H27" s="8">
        <v>0</v>
      </c>
      <c r="I27" s="8">
        <v>57960.504312003803</v>
      </c>
      <c r="J27" s="8">
        <v>0</v>
      </c>
      <c r="K27" s="8">
        <v>0</v>
      </c>
      <c r="L27" s="8">
        <v>0</v>
      </c>
      <c r="M27" s="8">
        <v>233814.891062885</v>
      </c>
      <c r="N27" s="8">
        <v>6941095.45599999</v>
      </c>
      <c r="O27" s="70">
        <v>3.3685589334572699</v>
      </c>
    </row>
    <row r="28" spans="1:15" x14ac:dyDescent="0.4">
      <c r="A28" s="27" t="s">
        <v>183</v>
      </c>
      <c r="B28" s="43" t="s">
        <v>184</v>
      </c>
      <c r="C28" s="8">
        <v>0</v>
      </c>
      <c r="D28" s="8">
        <v>0</v>
      </c>
      <c r="E28" s="8">
        <v>566465.69582844002</v>
      </c>
      <c r="F28" s="8">
        <v>7423.7260841463803</v>
      </c>
      <c r="G28" s="8">
        <v>33205.744824208698</v>
      </c>
      <c r="H28" s="8">
        <v>21055.141927160901</v>
      </c>
      <c r="I28" s="8">
        <v>308892.88950109598</v>
      </c>
      <c r="J28" s="8">
        <v>0</v>
      </c>
      <c r="K28" s="8">
        <v>0</v>
      </c>
      <c r="L28" s="8">
        <v>0</v>
      </c>
      <c r="M28" s="8">
        <v>937043.19816505304</v>
      </c>
      <c r="N28" s="8">
        <v>11625726.308</v>
      </c>
      <c r="O28" s="70">
        <v>8.0600830721453196</v>
      </c>
    </row>
    <row r="29" spans="1:15" x14ac:dyDescent="0.4">
      <c r="A29" s="27" t="s">
        <v>185</v>
      </c>
      <c r="B29" s="43" t="s">
        <v>186</v>
      </c>
      <c r="C29" s="8">
        <v>231856.96831167099</v>
      </c>
      <c r="D29" s="8">
        <v>0</v>
      </c>
      <c r="E29" s="8">
        <v>614626.005954433</v>
      </c>
      <c r="F29" s="8">
        <v>0</v>
      </c>
      <c r="G29" s="8">
        <v>5471.6931646233998</v>
      </c>
      <c r="H29" s="8">
        <v>16.2197941434572</v>
      </c>
      <c r="I29" s="8">
        <v>3757.9037359273898</v>
      </c>
      <c r="J29" s="8">
        <v>0</v>
      </c>
      <c r="K29" s="8">
        <v>0</v>
      </c>
      <c r="L29" s="8">
        <v>0</v>
      </c>
      <c r="M29" s="8">
        <v>855728.79096079804</v>
      </c>
      <c r="N29" s="8">
        <v>2921327.48699999</v>
      </c>
      <c r="O29" s="70">
        <v>29.292463606658899</v>
      </c>
    </row>
    <row r="30" spans="1:15" x14ac:dyDescent="0.4">
      <c r="A30" s="27" t="s">
        <v>187</v>
      </c>
      <c r="B30" s="43" t="s">
        <v>188</v>
      </c>
      <c r="C30" s="8">
        <v>23125.339566212398</v>
      </c>
      <c r="D30" s="8">
        <v>115897.806840716</v>
      </c>
      <c r="E30" s="8">
        <v>75868.623767323399</v>
      </c>
      <c r="F30" s="8">
        <v>279771.99612749298</v>
      </c>
      <c r="G30" s="8">
        <v>23.511274579029699</v>
      </c>
      <c r="H30" s="8">
        <v>3232.6072651863601</v>
      </c>
      <c r="I30" s="8">
        <v>430410.061499651</v>
      </c>
      <c r="J30" s="8">
        <v>5.0203147382317201</v>
      </c>
      <c r="K30" s="8">
        <v>0</v>
      </c>
      <c r="L30" s="8">
        <v>0</v>
      </c>
      <c r="M30" s="8">
        <v>928334.9666559</v>
      </c>
      <c r="N30" s="8">
        <v>6120408.6509999996</v>
      </c>
      <c r="O30" s="70">
        <v>15.1678592001241</v>
      </c>
    </row>
    <row r="31" spans="1:15" x14ac:dyDescent="0.4">
      <c r="A31" s="27" t="s">
        <v>189</v>
      </c>
      <c r="B31" s="43" t="s">
        <v>190</v>
      </c>
      <c r="C31" s="8">
        <v>0</v>
      </c>
      <c r="D31" s="8">
        <v>0</v>
      </c>
      <c r="E31" s="8">
        <v>0</v>
      </c>
      <c r="F31" s="8">
        <v>751.56669335837</v>
      </c>
      <c r="G31" s="8">
        <v>0</v>
      </c>
      <c r="H31" s="8">
        <v>1834.0784610078399</v>
      </c>
      <c r="I31" s="8">
        <v>331958.29629195598</v>
      </c>
      <c r="J31" s="8">
        <v>0</v>
      </c>
      <c r="K31" s="8">
        <v>0</v>
      </c>
      <c r="L31" s="8">
        <v>0</v>
      </c>
      <c r="M31" s="8">
        <v>334543.94144632202</v>
      </c>
      <c r="N31" s="8">
        <v>7267416.1729999902</v>
      </c>
      <c r="O31" s="70">
        <v>4.6033409052480598</v>
      </c>
    </row>
    <row r="32" spans="1:15" x14ac:dyDescent="0.4">
      <c r="A32" s="27" t="s">
        <v>191</v>
      </c>
      <c r="B32" s="43" t="s">
        <v>192</v>
      </c>
      <c r="C32" s="8">
        <v>231515.531008144</v>
      </c>
      <c r="D32" s="8">
        <v>0</v>
      </c>
      <c r="E32" s="8">
        <v>227153.70150177099</v>
      </c>
      <c r="F32" s="8">
        <v>18990.200458524199</v>
      </c>
      <c r="G32" s="8">
        <v>3352.4972169943799</v>
      </c>
      <c r="H32" s="8">
        <v>69.392860617618794</v>
      </c>
      <c r="I32" s="8">
        <v>121343.484284148</v>
      </c>
      <c r="J32" s="8">
        <v>19.564294529131999</v>
      </c>
      <c r="K32" s="8">
        <v>0</v>
      </c>
      <c r="L32" s="8">
        <v>0</v>
      </c>
      <c r="M32" s="8">
        <v>602444.37162472995</v>
      </c>
      <c r="N32" s="8">
        <v>6615765.0329999998</v>
      </c>
      <c r="O32" s="70">
        <v>9.1061935939333694</v>
      </c>
    </row>
    <row r="33" spans="1:15" x14ac:dyDescent="0.4">
      <c r="A33" s="27" t="s">
        <v>193</v>
      </c>
      <c r="B33" s="43" t="s">
        <v>194</v>
      </c>
      <c r="C33" s="8">
        <v>11243.6067472919</v>
      </c>
      <c r="D33" s="8">
        <v>8.5798789047737305</v>
      </c>
      <c r="E33" s="8">
        <v>69824.983877117207</v>
      </c>
      <c r="F33" s="8">
        <v>2558.9137524244502</v>
      </c>
      <c r="G33" s="8">
        <v>11269.6668380915</v>
      </c>
      <c r="H33" s="8">
        <v>16018.997345368</v>
      </c>
      <c r="I33" s="8">
        <v>74029.404327548298</v>
      </c>
      <c r="J33" s="8">
        <v>0</v>
      </c>
      <c r="K33" s="8">
        <v>0</v>
      </c>
      <c r="L33" s="8">
        <v>0</v>
      </c>
      <c r="M33" s="8">
        <v>184954.152766746</v>
      </c>
      <c r="N33" s="8">
        <v>537542.625</v>
      </c>
      <c r="O33" s="70">
        <v>34.407346350765401</v>
      </c>
    </row>
    <row r="34" spans="1:15" x14ac:dyDescent="0.4">
      <c r="A34" s="27" t="s">
        <v>195</v>
      </c>
      <c r="B34" s="43" t="s">
        <v>196</v>
      </c>
      <c r="C34" s="8">
        <v>454525.13092197699</v>
      </c>
      <c r="D34" s="8">
        <v>0</v>
      </c>
      <c r="E34" s="8">
        <v>1611608.197741</v>
      </c>
      <c r="F34" s="8">
        <v>52731.624098771703</v>
      </c>
      <c r="G34" s="8">
        <v>0</v>
      </c>
      <c r="H34" s="8">
        <v>12.2540930806024</v>
      </c>
      <c r="I34" s="8">
        <v>790030.45751777501</v>
      </c>
      <c r="J34" s="8">
        <v>0</v>
      </c>
      <c r="K34" s="8">
        <v>0</v>
      </c>
      <c r="L34" s="8">
        <v>0</v>
      </c>
      <c r="M34" s="8">
        <v>2908907.6643726099</v>
      </c>
      <c r="N34" s="8">
        <v>18075257.304000001</v>
      </c>
      <c r="O34" s="70">
        <v>16.093312617623798</v>
      </c>
    </row>
    <row r="35" spans="1:15" x14ac:dyDescent="0.4">
      <c r="A35" s="27" t="s">
        <v>197</v>
      </c>
      <c r="B35" s="43" t="s">
        <v>198</v>
      </c>
      <c r="C35" s="8">
        <v>234062.455336307</v>
      </c>
      <c r="D35" s="8">
        <v>9813.7584832563407</v>
      </c>
      <c r="E35" s="8">
        <v>221044.151731538</v>
      </c>
      <c r="F35" s="8">
        <v>39377.788792035499</v>
      </c>
      <c r="G35" s="8">
        <v>0</v>
      </c>
      <c r="H35" s="8">
        <v>0</v>
      </c>
      <c r="I35" s="8">
        <v>1459578.0631155199</v>
      </c>
      <c r="J35" s="8">
        <v>0</v>
      </c>
      <c r="K35" s="8">
        <v>0</v>
      </c>
      <c r="L35" s="8">
        <v>0</v>
      </c>
      <c r="M35" s="8">
        <v>1963876.21745866</v>
      </c>
      <c r="N35" s="8">
        <v>12002882.873</v>
      </c>
      <c r="O35" s="70">
        <v>16.361704419163502</v>
      </c>
    </row>
    <row r="36" spans="1:15" x14ac:dyDescent="0.4">
      <c r="A36" s="27" t="s">
        <v>199</v>
      </c>
      <c r="B36" s="43" t="s">
        <v>200</v>
      </c>
      <c r="C36" s="8">
        <v>261626.94579161299</v>
      </c>
      <c r="D36" s="8">
        <v>0</v>
      </c>
      <c r="E36" s="8">
        <v>306465.336152089</v>
      </c>
      <c r="F36" s="8">
        <v>747.29158791760506</v>
      </c>
      <c r="G36" s="8">
        <v>29934.132422721399</v>
      </c>
      <c r="H36" s="8">
        <v>0</v>
      </c>
      <c r="I36" s="8">
        <v>652.19751892990303</v>
      </c>
      <c r="J36" s="8">
        <v>0</v>
      </c>
      <c r="K36" s="8">
        <v>0</v>
      </c>
      <c r="L36" s="8">
        <v>0</v>
      </c>
      <c r="M36" s="8">
        <v>599425.90347327106</v>
      </c>
      <c r="N36" s="8">
        <v>3142149.443</v>
      </c>
      <c r="O36" s="70">
        <v>19.076938075261101</v>
      </c>
    </row>
    <row r="37" spans="1:15" x14ac:dyDescent="0.4">
      <c r="A37" s="27" t="s">
        <v>201</v>
      </c>
      <c r="B37" s="43" t="s">
        <v>202</v>
      </c>
      <c r="C37" s="8">
        <v>1845696.0285380599</v>
      </c>
      <c r="D37" s="8">
        <v>0</v>
      </c>
      <c r="E37" s="8">
        <v>0</v>
      </c>
      <c r="F37" s="8">
        <v>127524.449285283</v>
      </c>
      <c r="G37" s="8">
        <v>0</v>
      </c>
      <c r="H37" s="8">
        <v>0</v>
      </c>
      <c r="I37" s="8">
        <v>7154071.1636476098</v>
      </c>
      <c r="J37" s="8">
        <v>0</v>
      </c>
      <c r="K37" s="8">
        <v>0</v>
      </c>
      <c r="L37" s="8">
        <v>0</v>
      </c>
      <c r="M37" s="8">
        <v>9127291.6414709594</v>
      </c>
      <c r="N37" s="8">
        <v>15628918.477</v>
      </c>
      <c r="O37" s="70">
        <v>58.400020800562501</v>
      </c>
    </row>
    <row r="38" spans="1:15" x14ac:dyDescent="0.4">
      <c r="A38" s="27" t="s">
        <v>203</v>
      </c>
      <c r="B38" s="43" t="s">
        <v>204</v>
      </c>
      <c r="C38" s="8">
        <v>17733.407394333601</v>
      </c>
      <c r="D38" s="8">
        <v>0</v>
      </c>
      <c r="E38" s="8">
        <v>1384057.11935131</v>
      </c>
      <c r="F38" s="8">
        <v>594015.74992670096</v>
      </c>
      <c r="G38" s="8">
        <v>1597253.92852367</v>
      </c>
      <c r="H38" s="8">
        <v>16796.569728239301</v>
      </c>
      <c r="I38" s="8">
        <v>16099765.565770799</v>
      </c>
      <c r="J38" s="8">
        <v>0</v>
      </c>
      <c r="K38" s="8">
        <v>0</v>
      </c>
      <c r="L38" s="8">
        <v>0</v>
      </c>
      <c r="M38" s="8">
        <v>19709622.340695102</v>
      </c>
      <c r="N38" s="8">
        <v>39486135.498000003</v>
      </c>
      <c r="O38" s="70">
        <v>49.915298349957403</v>
      </c>
    </row>
    <row r="39" spans="1:15" x14ac:dyDescent="0.4">
      <c r="A39" s="27" t="s">
        <v>205</v>
      </c>
      <c r="B39" s="43" t="s">
        <v>206</v>
      </c>
      <c r="C39" s="8">
        <v>3591100.46933536</v>
      </c>
      <c r="D39" s="8">
        <v>493163.35403618799</v>
      </c>
      <c r="E39" s="8">
        <v>2202.6907052104798</v>
      </c>
      <c r="F39" s="8">
        <v>15252.9228733994</v>
      </c>
      <c r="G39" s="8">
        <v>0</v>
      </c>
      <c r="H39" s="8">
        <v>0</v>
      </c>
      <c r="I39" s="8">
        <v>14049960.9775356</v>
      </c>
      <c r="J39" s="8">
        <v>0</v>
      </c>
      <c r="K39" s="8">
        <v>0</v>
      </c>
      <c r="L39" s="8">
        <v>0</v>
      </c>
      <c r="M39" s="8">
        <v>18151680.414485801</v>
      </c>
      <c r="N39" s="8">
        <v>42246564.192000002</v>
      </c>
      <c r="O39" s="70">
        <v>42.966051231979499</v>
      </c>
    </row>
    <row r="40" spans="1:15" x14ac:dyDescent="0.4">
      <c r="A40" s="27" t="s">
        <v>207</v>
      </c>
      <c r="B40" s="43" t="s">
        <v>208</v>
      </c>
      <c r="C40" s="8">
        <v>0</v>
      </c>
      <c r="D40" s="8">
        <v>0</v>
      </c>
      <c r="E40" s="8">
        <v>194844.95851867899</v>
      </c>
      <c r="F40" s="8">
        <v>0</v>
      </c>
      <c r="G40" s="8">
        <v>0</v>
      </c>
      <c r="H40" s="8">
        <v>297626.23951935099</v>
      </c>
      <c r="I40" s="8">
        <v>224857.72085187599</v>
      </c>
      <c r="J40" s="8">
        <v>0</v>
      </c>
      <c r="K40" s="8">
        <v>0</v>
      </c>
      <c r="L40" s="8">
        <v>0</v>
      </c>
      <c r="M40" s="8">
        <v>717328.918889908</v>
      </c>
      <c r="N40" s="8">
        <v>2711718.443</v>
      </c>
      <c r="O40" s="70">
        <v>26.4529276902479</v>
      </c>
    </row>
    <row r="41" spans="1:15" x14ac:dyDescent="0.4">
      <c r="A41" s="27" t="s">
        <v>209</v>
      </c>
      <c r="B41" s="43" t="s">
        <v>210</v>
      </c>
      <c r="C41" s="8">
        <v>0</v>
      </c>
      <c r="D41" s="8">
        <v>0</v>
      </c>
      <c r="E41" s="8">
        <v>308391.28697613702</v>
      </c>
      <c r="F41" s="8">
        <v>0</v>
      </c>
      <c r="G41" s="8">
        <v>0</v>
      </c>
      <c r="H41" s="8">
        <v>670946.20747753396</v>
      </c>
      <c r="I41" s="8">
        <v>1911190.0836237201</v>
      </c>
      <c r="J41" s="8">
        <v>0</v>
      </c>
      <c r="K41" s="8">
        <v>0</v>
      </c>
      <c r="L41" s="8">
        <v>0</v>
      </c>
      <c r="M41" s="8">
        <v>2890527.5780773899</v>
      </c>
      <c r="N41" s="8">
        <v>11847908.986</v>
      </c>
      <c r="O41" s="70">
        <v>24.396942798032601</v>
      </c>
    </row>
    <row r="42" spans="1:15" x14ac:dyDescent="0.4">
      <c r="A42" s="27" t="s">
        <v>211</v>
      </c>
      <c r="B42" s="43" t="s">
        <v>212</v>
      </c>
      <c r="C42" s="8">
        <v>0</v>
      </c>
      <c r="D42" s="8">
        <v>0</v>
      </c>
      <c r="E42" s="8">
        <v>697897.22366446897</v>
      </c>
      <c r="F42" s="8">
        <v>7828.1707942405801</v>
      </c>
      <c r="G42" s="8">
        <v>0</v>
      </c>
      <c r="H42" s="8">
        <v>311028.87418620102</v>
      </c>
      <c r="I42" s="8">
        <v>627422.76378202997</v>
      </c>
      <c r="J42" s="8">
        <v>0</v>
      </c>
      <c r="K42" s="8">
        <v>0</v>
      </c>
      <c r="L42" s="8">
        <v>0</v>
      </c>
      <c r="M42" s="8">
        <v>1644177.03242694</v>
      </c>
      <c r="N42" s="8">
        <v>22041825.1289999</v>
      </c>
      <c r="O42" s="70">
        <v>7.4593506790130997</v>
      </c>
    </row>
    <row r="43" spans="1:15" x14ac:dyDescent="0.4">
      <c r="A43" s="27" t="s">
        <v>213</v>
      </c>
      <c r="B43" s="43" t="s">
        <v>214</v>
      </c>
      <c r="C43" s="8">
        <v>111101.57132046499</v>
      </c>
      <c r="D43" s="8">
        <v>44689.6142591151</v>
      </c>
      <c r="E43" s="8">
        <v>3525.9453404969599</v>
      </c>
      <c r="F43" s="8">
        <v>0</v>
      </c>
      <c r="G43" s="8">
        <v>0</v>
      </c>
      <c r="H43" s="8">
        <v>0</v>
      </c>
      <c r="I43" s="8">
        <v>0</v>
      </c>
      <c r="J43" s="8">
        <v>0</v>
      </c>
      <c r="K43" s="8">
        <v>0</v>
      </c>
      <c r="L43" s="8">
        <v>0</v>
      </c>
      <c r="M43" s="8">
        <v>159317.130920077</v>
      </c>
      <c r="N43" s="8">
        <v>1088197.581</v>
      </c>
      <c r="O43" s="70">
        <v>14.640459940525901</v>
      </c>
    </row>
    <row r="44" spans="1:15" x14ac:dyDescent="0.4">
      <c r="A44" s="27" t="s">
        <v>215</v>
      </c>
      <c r="B44" s="43" t="s">
        <v>216</v>
      </c>
      <c r="C44" s="8">
        <v>7.4497654751723097</v>
      </c>
      <c r="D44" s="8">
        <v>0</v>
      </c>
      <c r="E44" s="8">
        <v>8662.7329702309507</v>
      </c>
      <c r="F44" s="8">
        <v>0</v>
      </c>
      <c r="G44" s="8">
        <v>0</v>
      </c>
      <c r="H44" s="8">
        <v>5.6926957187577801E-2</v>
      </c>
      <c r="I44" s="8">
        <v>0</v>
      </c>
      <c r="J44" s="8">
        <v>0</v>
      </c>
      <c r="K44" s="8">
        <v>0</v>
      </c>
      <c r="L44" s="8">
        <v>0</v>
      </c>
      <c r="M44" s="8">
        <v>8670.2396626633108</v>
      </c>
      <c r="N44" s="8">
        <v>27329.15</v>
      </c>
      <c r="O44" s="70">
        <v>31.7252445197282</v>
      </c>
    </row>
    <row r="45" spans="1:15" x14ac:dyDescent="0.4">
      <c r="A45" s="27" t="s">
        <v>217</v>
      </c>
      <c r="B45" s="43" t="s">
        <v>218</v>
      </c>
      <c r="C45" s="8">
        <v>122305.93252151</v>
      </c>
      <c r="D45" s="8">
        <v>0</v>
      </c>
      <c r="E45" s="8">
        <v>534781.77279126295</v>
      </c>
      <c r="F45" s="8">
        <v>0</v>
      </c>
      <c r="G45" s="8">
        <v>8880.0260125933692</v>
      </c>
      <c r="H45" s="8">
        <v>1169.9849538252899</v>
      </c>
      <c r="I45" s="8">
        <v>6466.8776507340699</v>
      </c>
      <c r="J45" s="8">
        <v>0</v>
      </c>
      <c r="K45" s="8">
        <v>373.46925485934901</v>
      </c>
      <c r="L45" s="8">
        <v>0</v>
      </c>
      <c r="M45" s="8">
        <v>673978.06318478601</v>
      </c>
      <c r="N45" s="8">
        <v>4509074.1390000004</v>
      </c>
      <c r="O45" s="70">
        <v>14.947149734252401</v>
      </c>
    </row>
    <row r="46" spans="1:15" x14ac:dyDescent="0.4">
      <c r="A46" s="27" t="s">
        <v>219</v>
      </c>
      <c r="B46" s="43" t="s">
        <v>220</v>
      </c>
      <c r="C46" s="8">
        <v>11547.741048451</v>
      </c>
      <c r="D46" s="8">
        <v>69884.806722922003</v>
      </c>
      <c r="E46" s="8">
        <v>40135.987708127002</v>
      </c>
      <c r="F46" s="8">
        <v>37130.004452686597</v>
      </c>
      <c r="G46" s="8">
        <v>1009.41057675921</v>
      </c>
      <c r="H46" s="8">
        <v>0</v>
      </c>
      <c r="I46" s="8">
        <v>7237.04763401332</v>
      </c>
      <c r="J46" s="8">
        <v>19.886042562616598</v>
      </c>
      <c r="K46" s="8">
        <v>0</v>
      </c>
      <c r="L46" s="8">
        <v>0</v>
      </c>
      <c r="M46" s="8">
        <v>166964.88418552099</v>
      </c>
      <c r="N46" s="8">
        <v>812414.86</v>
      </c>
      <c r="O46" s="70">
        <v>20.551677770335399</v>
      </c>
    </row>
    <row r="47" spans="1:15" x14ac:dyDescent="0.4">
      <c r="A47" s="27" t="s">
        <v>221</v>
      </c>
      <c r="B47" s="43" t="s">
        <v>222</v>
      </c>
      <c r="C47" s="8">
        <v>493.39544555479603</v>
      </c>
      <c r="D47" s="8">
        <v>0</v>
      </c>
      <c r="E47" s="8">
        <v>18473.573707372401</v>
      </c>
      <c r="F47" s="8">
        <v>3115.5621891954502</v>
      </c>
      <c r="G47" s="8">
        <v>17489.199432252401</v>
      </c>
      <c r="H47" s="8">
        <v>8905.8293204111196</v>
      </c>
      <c r="I47" s="8">
        <v>33949.685320280798</v>
      </c>
      <c r="J47" s="8">
        <v>2149.3582123697302</v>
      </c>
      <c r="K47" s="8">
        <v>0</v>
      </c>
      <c r="L47" s="8">
        <v>0</v>
      </c>
      <c r="M47" s="8">
        <v>84576.603627436707</v>
      </c>
      <c r="N47" s="8">
        <v>425566.53600000002</v>
      </c>
      <c r="O47" s="70">
        <v>19.873884921119998</v>
      </c>
    </row>
    <row r="48" spans="1:15" x14ac:dyDescent="0.4">
      <c r="A48" s="27" t="s">
        <v>223</v>
      </c>
      <c r="B48" s="43" t="s">
        <v>224</v>
      </c>
      <c r="C48" s="8">
        <v>0</v>
      </c>
      <c r="D48" s="8">
        <v>0</v>
      </c>
      <c r="E48" s="8">
        <v>514038.089925554</v>
      </c>
      <c r="F48" s="8">
        <v>386106.44227565802</v>
      </c>
      <c r="G48" s="8">
        <v>0</v>
      </c>
      <c r="H48" s="8">
        <v>0</v>
      </c>
      <c r="I48" s="8">
        <v>4350000.4876963003</v>
      </c>
      <c r="J48" s="8">
        <v>0</v>
      </c>
      <c r="K48" s="8">
        <v>0</v>
      </c>
      <c r="L48" s="8">
        <v>0</v>
      </c>
      <c r="M48" s="8">
        <v>5250145.0198975103</v>
      </c>
      <c r="N48" s="8">
        <v>11089856.834000001</v>
      </c>
      <c r="O48" s="70">
        <v>47.341864719130299</v>
      </c>
    </row>
    <row r="49" spans="1:15" x14ac:dyDescent="0.4">
      <c r="A49" s="27" t="s">
        <v>225</v>
      </c>
      <c r="B49" s="43" t="s">
        <v>226</v>
      </c>
      <c r="C49" s="8">
        <v>0</v>
      </c>
      <c r="D49" s="8">
        <v>0</v>
      </c>
      <c r="E49" s="8">
        <v>0</v>
      </c>
      <c r="F49" s="8">
        <v>4765.4526090355102</v>
      </c>
      <c r="G49" s="8">
        <v>0</v>
      </c>
      <c r="H49" s="8">
        <v>569383.58445959305</v>
      </c>
      <c r="I49" s="8">
        <v>5598.7682897762197</v>
      </c>
      <c r="J49" s="8">
        <v>0</v>
      </c>
      <c r="K49" s="8">
        <v>0</v>
      </c>
      <c r="L49" s="8">
        <v>0</v>
      </c>
      <c r="M49" s="8">
        <v>579747.80535840499</v>
      </c>
      <c r="N49" s="8">
        <v>3929443.5430000001</v>
      </c>
      <c r="O49" s="70">
        <v>14.753941595399199</v>
      </c>
    </row>
    <row r="50" spans="1:15" x14ac:dyDescent="0.4">
      <c r="A50" s="27" t="s">
        <v>227</v>
      </c>
      <c r="B50" s="43" t="s">
        <v>228</v>
      </c>
      <c r="C50" s="8">
        <v>1107573.9728916199</v>
      </c>
      <c r="D50" s="8">
        <v>0</v>
      </c>
      <c r="E50" s="8">
        <v>226491.45484990699</v>
      </c>
      <c r="F50" s="8">
        <v>0</v>
      </c>
      <c r="G50" s="8">
        <v>1264.35018122835</v>
      </c>
      <c r="H50" s="8">
        <v>724.882172240248</v>
      </c>
      <c r="I50" s="8">
        <v>1020805.9563398</v>
      </c>
      <c r="J50" s="8">
        <v>0</v>
      </c>
      <c r="K50" s="8">
        <v>0</v>
      </c>
      <c r="L50" s="8">
        <v>0</v>
      </c>
      <c r="M50" s="8">
        <v>2356860.6164348</v>
      </c>
      <c r="N50" s="8">
        <v>7397559.2570000002</v>
      </c>
      <c r="O50" s="70">
        <v>31.859976169905</v>
      </c>
    </row>
    <row r="51" spans="1:15" x14ac:dyDescent="0.4">
      <c r="A51" s="27" t="s">
        <v>229</v>
      </c>
      <c r="B51" s="43" t="s">
        <v>230</v>
      </c>
      <c r="C51" s="8">
        <v>0</v>
      </c>
      <c r="D51" s="8">
        <v>0</v>
      </c>
      <c r="E51" s="8">
        <v>341186.58268175903</v>
      </c>
      <c r="F51" s="8">
        <v>314.15811940296697</v>
      </c>
      <c r="G51" s="8">
        <v>169378.997180042</v>
      </c>
      <c r="H51" s="8">
        <v>0</v>
      </c>
      <c r="I51" s="8">
        <v>11837.9710898014</v>
      </c>
      <c r="J51" s="8">
        <v>0</v>
      </c>
      <c r="K51" s="8">
        <v>0</v>
      </c>
      <c r="L51" s="8">
        <v>0</v>
      </c>
      <c r="M51" s="8">
        <v>522717.70907100599</v>
      </c>
      <c r="N51" s="8">
        <v>33468761.923999999</v>
      </c>
      <c r="O51" s="70">
        <v>1.5618077246418001</v>
      </c>
    </row>
    <row r="52" spans="1:15" x14ac:dyDescent="0.4">
      <c r="A52" s="27" t="s">
        <v>231</v>
      </c>
      <c r="B52" s="43" t="s">
        <v>232</v>
      </c>
      <c r="C52" s="8">
        <v>0</v>
      </c>
      <c r="D52" s="8">
        <v>0</v>
      </c>
      <c r="E52" s="8">
        <v>175817.596640295</v>
      </c>
      <c r="F52" s="8">
        <v>0</v>
      </c>
      <c r="G52" s="8">
        <v>0</v>
      </c>
      <c r="H52" s="8">
        <v>0</v>
      </c>
      <c r="I52" s="8">
        <v>261592.05341842101</v>
      </c>
      <c r="J52" s="8">
        <v>0</v>
      </c>
      <c r="K52" s="8">
        <v>0</v>
      </c>
      <c r="L52" s="8">
        <v>0</v>
      </c>
      <c r="M52" s="8">
        <v>437409.65005871601</v>
      </c>
      <c r="N52" s="8">
        <v>6778261.4469999997</v>
      </c>
      <c r="O52" s="70">
        <v>6.4531244992373402</v>
      </c>
    </row>
    <row r="53" spans="1:15" x14ac:dyDescent="0.4">
      <c r="A53" s="27" t="s">
        <v>233</v>
      </c>
      <c r="B53" s="43" t="s">
        <v>234</v>
      </c>
      <c r="C53" s="8">
        <v>122354.62871069</v>
      </c>
      <c r="D53" s="8">
        <v>0</v>
      </c>
      <c r="E53" s="8">
        <v>908987.30307726294</v>
      </c>
      <c r="F53" s="8">
        <v>0</v>
      </c>
      <c r="G53" s="8">
        <v>31524.414160892102</v>
      </c>
      <c r="H53" s="8">
        <v>38305.5400744574</v>
      </c>
      <c r="I53" s="8">
        <v>151291.70785112199</v>
      </c>
      <c r="J53" s="8">
        <v>0</v>
      </c>
      <c r="K53" s="8">
        <v>0</v>
      </c>
      <c r="L53" s="8">
        <v>0</v>
      </c>
      <c r="M53" s="8">
        <v>1252463.59387442</v>
      </c>
      <c r="N53" s="8">
        <v>25188333.428999901</v>
      </c>
      <c r="O53" s="70">
        <v>4.97239564262886</v>
      </c>
    </row>
    <row r="54" spans="1:15" x14ac:dyDescent="0.4">
      <c r="A54" s="27" t="s">
        <v>235</v>
      </c>
      <c r="B54" s="43" t="s">
        <v>236</v>
      </c>
      <c r="C54" s="8">
        <v>286448.04365560802</v>
      </c>
      <c r="D54" s="8">
        <v>0</v>
      </c>
      <c r="E54" s="8">
        <v>1663718.01545309</v>
      </c>
      <c r="F54" s="8">
        <v>0</v>
      </c>
      <c r="G54" s="8">
        <v>0</v>
      </c>
      <c r="H54" s="8">
        <v>4221.3792889961996</v>
      </c>
      <c r="I54" s="8">
        <v>13230.2989421691</v>
      </c>
      <c r="J54" s="8">
        <v>0</v>
      </c>
      <c r="K54" s="8">
        <v>0</v>
      </c>
      <c r="L54" s="8">
        <v>0</v>
      </c>
      <c r="M54" s="8">
        <v>1967617.7373398601</v>
      </c>
      <c r="N54" s="8">
        <v>28120554.324000001</v>
      </c>
      <c r="O54" s="70">
        <v>6.99708019503929</v>
      </c>
    </row>
    <row r="55" spans="1:15" x14ac:dyDescent="0.4">
      <c r="A55" s="27" t="s">
        <v>237</v>
      </c>
      <c r="B55" s="43" t="s">
        <v>238</v>
      </c>
      <c r="C55" s="8">
        <v>680997.55738522997</v>
      </c>
      <c r="D55" s="8">
        <v>404689.02951881901</v>
      </c>
      <c r="E55" s="8">
        <v>1510097.4680607</v>
      </c>
      <c r="F55" s="8">
        <v>548744.47695831803</v>
      </c>
      <c r="G55" s="8">
        <v>188277.32256014101</v>
      </c>
      <c r="H55" s="8">
        <v>30720.425139933501</v>
      </c>
      <c r="I55" s="8">
        <v>109561.423636647</v>
      </c>
      <c r="J55" s="8">
        <v>0</v>
      </c>
      <c r="K55" s="8">
        <v>0</v>
      </c>
      <c r="L55" s="8">
        <v>0</v>
      </c>
      <c r="M55" s="8">
        <v>3473087.7032597899</v>
      </c>
      <c r="N55" s="8">
        <v>19958366.568</v>
      </c>
      <c r="O55" s="70">
        <v>17.401663064092201</v>
      </c>
    </row>
    <row r="56" spans="1:15" x14ac:dyDescent="0.4">
      <c r="A56" s="27" t="s">
        <v>239</v>
      </c>
      <c r="B56" s="43" t="s">
        <v>240</v>
      </c>
      <c r="C56" s="8">
        <v>61293.274736245097</v>
      </c>
      <c r="D56" s="8">
        <v>508075.37064441101</v>
      </c>
      <c r="E56" s="8">
        <v>448945.86652768502</v>
      </c>
      <c r="F56" s="8">
        <v>16.173048425707599</v>
      </c>
      <c r="G56" s="8">
        <v>38998.4041501744</v>
      </c>
      <c r="H56" s="8">
        <v>3393.0588349098498</v>
      </c>
      <c r="I56" s="8">
        <v>85.165950860846607</v>
      </c>
      <c r="J56" s="8">
        <v>0</v>
      </c>
      <c r="K56" s="8">
        <v>0</v>
      </c>
      <c r="L56" s="8">
        <v>0</v>
      </c>
      <c r="M56" s="8">
        <v>1060807.31389271</v>
      </c>
      <c r="N56" s="8">
        <v>3996472.8669999898</v>
      </c>
      <c r="O56" s="70">
        <v>26.5435885390864</v>
      </c>
    </row>
    <row r="57" spans="1:15" x14ac:dyDescent="0.4">
      <c r="A57" s="27" t="s">
        <v>241</v>
      </c>
      <c r="B57" s="43" t="s">
        <v>242</v>
      </c>
      <c r="C57" s="8">
        <v>54406.990229701201</v>
      </c>
      <c r="D57" s="8">
        <v>1446.03970016536</v>
      </c>
      <c r="E57" s="8">
        <v>193004.973109471</v>
      </c>
      <c r="F57" s="8">
        <v>1682.09779788277</v>
      </c>
      <c r="G57" s="8">
        <v>37987.114406047498</v>
      </c>
      <c r="H57" s="8">
        <v>3.40362618182421</v>
      </c>
      <c r="I57" s="8">
        <v>1160.71693416674</v>
      </c>
      <c r="J57" s="8">
        <v>0</v>
      </c>
      <c r="K57" s="8">
        <v>0</v>
      </c>
      <c r="L57" s="8">
        <v>0</v>
      </c>
      <c r="M57" s="8">
        <v>289691.33580361702</v>
      </c>
      <c r="N57" s="8">
        <v>8681087.6129999999</v>
      </c>
      <c r="O57" s="70">
        <v>3.3370396512275899</v>
      </c>
    </row>
    <row r="58" spans="1:15" x14ac:dyDescent="0.4">
      <c r="A58" s="27" t="s">
        <v>243</v>
      </c>
      <c r="B58" s="43" t="s">
        <v>244</v>
      </c>
      <c r="C58" s="8">
        <v>7768.3705988327802</v>
      </c>
      <c r="D58" s="8">
        <v>0</v>
      </c>
      <c r="E58" s="8">
        <v>80971.041868722095</v>
      </c>
      <c r="F58" s="8">
        <v>34.989009489378503</v>
      </c>
      <c r="G58" s="8">
        <v>22483.091879315001</v>
      </c>
      <c r="H58" s="8">
        <v>5299.3543178550699</v>
      </c>
      <c r="I58" s="8">
        <v>7387.9403367400801</v>
      </c>
      <c r="J58" s="8">
        <v>0</v>
      </c>
      <c r="K58" s="8">
        <v>0</v>
      </c>
      <c r="L58" s="8">
        <v>0</v>
      </c>
      <c r="M58" s="8">
        <v>123944.788010954</v>
      </c>
      <c r="N58" s="8">
        <v>2701960.9959999998</v>
      </c>
      <c r="O58" s="70">
        <v>4.5872160328903</v>
      </c>
    </row>
    <row r="59" spans="1:15" x14ac:dyDescent="0.4">
      <c r="A59" s="27" t="s">
        <v>245</v>
      </c>
      <c r="B59" s="43" t="s">
        <v>246</v>
      </c>
      <c r="C59" s="8">
        <v>42168.261587459703</v>
      </c>
      <c r="D59" s="8">
        <v>0</v>
      </c>
      <c r="E59" s="8">
        <v>48898.570109676402</v>
      </c>
      <c r="F59" s="8">
        <v>91086.635684242094</v>
      </c>
      <c r="G59" s="8">
        <v>11852.887464121201</v>
      </c>
      <c r="H59" s="8">
        <v>366.20335754549598</v>
      </c>
      <c r="I59" s="8">
        <v>43298.3884785462</v>
      </c>
      <c r="J59" s="8">
        <v>5.8569244900470201</v>
      </c>
      <c r="K59" s="8">
        <v>0</v>
      </c>
      <c r="L59" s="8">
        <v>0</v>
      </c>
      <c r="M59" s="8">
        <v>237676.803606081</v>
      </c>
      <c r="N59" s="8">
        <v>2458214.71999999</v>
      </c>
      <c r="O59" s="70">
        <v>9.6686754689224692</v>
      </c>
    </row>
    <row r="60" spans="1:15" x14ac:dyDescent="0.4">
      <c r="A60" s="27" t="s">
        <v>247</v>
      </c>
      <c r="B60" s="43" t="s">
        <v>248</v>
      </c>
      <c r="C60" s="8">
        <v>26927.944477438799</v>
      </c>
      <c r="D60" s="8">
        <v>138734.53292929899</v>
      </c>
      <c r="E60" s="8">
        <v>127248.333053068</v>
      </c>
      <c r="F60" s="8">
        <v>586.23593838706199</v>
      </c>
      <c r="G60" s="8">
        <v>21657.247645388699</v>
      </c>
      <c r="H60" s="8">
        <v>645.12818555853903</v>
      </c>
      <c r="I60" s="8">
        <v>6309.1078882122702</v>
      </c>
      <c r="J60" s="8">
        <v>0</v>
      </c>
      <c r="K60" s="8">
        <v>0</v>
      </c>
      <c r="L60" s="8">
        <v>0</v>
      </c>
      <c r="M60" s="8">
        <v>322108.53011735302</v>
      </c>
      <c r="N60" s="8">
        <v>3002228.9649999999</v>
      </c>
      <c r="O60" s="70">
        <v>10.728979497316701</v>
      </c>
    </row>
    <row r="61" spans="1:15" x14ac:dyDescent="0.4">
      <c r="A61" s="27" t="s">
        <v>249</v>
      </c>
      <c r="B61" s="43" t="s">
        <v>250</v>
      </c>
      <c r="C61" s="8">
        <v>4520.3004465999902</v>
      </c>
      <c r="D61" s="8">
        <v>0</v>
      </c>
      <c r="E61" s="8">
        <v>1517386.49720349</v>
      </c>
      <c r="F61" s="8">
        <v>0</v>
      </c>
      <c r="G61" s="8">
        <v>0</v>
      </c>
      <c r="H61" s="8">
        <v>1176270.0085327099</v>
      </c>
      <c r="I61" s="8">
        <v>2501000.7639380498</v>
      </c>
      <c r="J61" s="8">
        <v>0</v>
      </c>
      <c r="K61" s="8">
        <v>0</v>
      </c>
      <c r="L61" s="8">
        <v>0</v>
      </c>
      <c r="M61" s="8">
        <v>5199177.5701208599</v>
      </c>
      <c r="N61" s="8">
        <v>8420100.3890000004</v>
      </c>
      <c r="O61" s="70">
        <v>61.747215946653697</v>
      </c>
    </row>
    <row r="62" spans="1:15" x14ac:dyDescent="0.4">
      <c r="A62" s="27" t="s">
        <v>251</v>
      </c>
      <c r="B62" s="43" t="s">
        <v>252</v>
      </c>
      <c r="C62" s="8">
        <v>2521332.3724996299</v>
      </c>
      <c r="D62" s="8">
        <v>852032.87378673698</v>
      </c>
      <c r="E62" s="8">
        <v>0</v>
      </c>
      <c r="F62" s="8">
        <v>19964.881060977201</v>
      </c>
      <c r="G62" s="8">
        <v>0</v>
      </c>
      <c r="H62" s="8">
        <v>462620.65403845801</v>
      </c>
      <c r="I62" s="8">
        <v>6978581.4555105399</v>
      </c>
      <c r="J62" s="8">
        <v>0</v>
      </c>
      <c r="K62" s="8">
        <v>0</v>
      </c>
      <c r="L62" s="8">
        <v>0</v>
      </c>
      <c r="M62" s="8">
        <v>10834532.236896301</v>
      </c>
      <c r="N62" s="8">
        <v>19722773.666999999</v>
      </c>
      <c r="O62" s="70">
        <v>54.934120422547899</v>
      </c>
    </row>
    <row r="63" spans="1:15" x14ac:dyDescent="0.4">
      <c r="A63" s="27" t="s">
        <v>253</v>
      </c>
      <c r="B63" s="43" t="s">
        <v>254</v>
      </c>
      <c r="C63" s="8">
        <v>0</v>
      </c>
      <c r="D63" s="8">
        <v>0</v>
      </c>
      <c r="E63" s="8">
        <v>324143.32038905198</v>
      </c>
      <c r="F63" s="8">
        <v>1454.59663697715</v>
      </c>
      <c r="G63" s="8">
        <v>568289.07479571796</v>
      </c>
      <c r="H63" s="8">
        <v>577599.78093465301</v>
      </c>
      <c r="I63" s="8">
        <v>16333.414968912501</v>
      </c>
      <c r="J63" s="8">
        <v>0</v>
      </c>
      <c r="K63" s="8">
        <v>0</v>
      </c>
      <c r="L63" s="8">
        <v>0</v>
      </c>
      <c r="M63" s="8">
        <v>1487820.18772531</v>
      </c>
      <c r="N63" s="8">
        <v>12540703.268999999</v>
      </c>
      <c r="O63" s="70">
        <v>11.863929444875099</v>
      </c>
    </row>
    <row r="64" spans="1:15" x14ac:dyDescent="0.4">
      <c r="A64" s="27" t="s">
        <v>255</v>
      </c>
      <c r="B64" s="43" t="s">
        <v>256</v>
      </c>
      <c r="C64" s="8">
        <v>0</v>
      </c>
      <c r="D64" s="8">
        <v>0</v>
      </c>
      <c r="E64" s="8">
        <v>1977.4441373767199</v>
      </c>
      <c r="F64" s="8">
        <v>0</v>
      </c>
      <c r="G64" s="8">
        <v>5.8041882294545299</v>
      </c>
      <c r="H64" s="8">
        <v>0</v>
      </c>
      <c r="I64" s="8">
        <v>0</v>
      </c>
      <c r="J64" s="8">
        <v>0</v>
      </c>
      <c r="K64" s="8">
        <v>0</v>
      </c>
      <c r="L64" s="8">
        <v>0</v>
      </c>
      <c r="M64" s="8">
        <v>1983.2483256061701</v>
      </c>
      <c r="N64" s="8">
        <v>5816.52</v>
      </c>
      <c r="O64" s="70">
        <v>34.096819500426001</v>
      </c>
    </row>
    <row r="65" spans="1:15" x14ac:dyDescent="0.4">
      <c r="A65" s="27" t="s">
        <v>257</v>
      </c>
      <c r="B65" s="43" t="s">
        <v>258</v>
      </c>
      <c r="C65" s="8">
        <v>177724.49786606399</v>
      </c>
      <c r="D65" s="8">
        <v>0</v>
      </c>
      <c r="E65" s="8">
        <v>1382404.8613571399</v>
      </c>
      <c r="F65" s="8">
        <v>0</v>
      </c>
      <c r="G65" s="8">
        <v>0</v>
      </c>
      <c r="H65" s="8">
        <v>0.63135722513826698</v>
      </c>
      <c r="I65" s="8">
        <v>5082.59102611457</v>
      </c>
      <c r="J65" s="8">
        <v>0</v>
      </c>
      <c r="K65" s="8">
        <v>0</v>
      </c>
      <c r="L65" s="8">
        <v>0</v>
      </c>
      <c r="M65" s="8">
        <v>1565212.5816065499</v>
      </c>
      <c r="N65" s="8">
        <v>17823125.772999998</v>
      </c>
      <c r="O65" s="70">
        <v>8.7819196337472292</v>
      </c>
    </row>
    <row r="66" spans="1:15" x14ac:dyDescent="0.4">
      <c r="A66" s="27" t="s">
        <v>259</v>
      </c>
      <c r="B66" s="43" t="s">
        <v>260</v>
      </c>
      <c r="C66" s="8">
        <v>0</v>
      </c>
      <c r="D66" s="8">
        <v>0</v>
      </c>
      <c r="E66" s="8">
        <v>790721.78676577099</v>
      </c>
      <c r="F66" s="8">
        <v>0</v>
      </c>
      <c r="G66" s="8">
        <v>0</v>
      </c>
      <c r="H66" s="8">
        <v>425995.664064218</v>
      </c>
      <c r="I66" s="8">
        <v>341.45990581287901</v>
      </c>
      <c r="J66" s="8">
        <v>0</v>
      </c>
      <c r="K66" s="8">
        <v>0</v>
      </c>
      <c r="L66" s="8">
        <v>0</v>
      </c>
      <c r="M66" s="8">
        <v>1217058.9107357999</v>
      </c>
      <c r="N66" s="8">
        <v>2851777.2059999998</v>
      </c>
      <c r="O66" s="70">
        <v>42.677208730582798</v>
      </c>
    </row>
    <row r="67" spans="1:15" x14ac:dyDescent="0.4">
      <c r="A67" s="27" t="s">
        <v>261</v>
      </c>
      <c r="B67" s="43" t="s">
        <v>262</v>
      </c>
      <c r="C67" s="8">
        <v>56048.461793013201</v>
      </c>
      <c r="D67" s="8">
        <v>0</v>
      </c>
      <c r="E67" s="8">
        <v>373454.06088238198</v>
      </c>
      <c r="F67" s="8">
        <v>21444.134752118502</v>
      </c>
      <c r="G67" s="8">
        <v>85551.163966083594</v>
      </c>
      <c r="H67" s="8">
        <v>22950.7235236655</v>
      </c>
      <c r="I67" s="8">
        <v>68262.544274238302</v>
      </c>
      <c r="J67" s="8">
        <v>0</v>
      </c>
      <c r="K67" s="8">
        <v>0</v>
      </c>
      <c r="L67" s="8">
        <v>0</v>
      </c>
      <c r="M67" s="8">
        <v>627711.08919150103</v>
      </c>
      <c r="N67" s="8">
        <v>9704502.6510000005</v>
      </c>
      <c r="O67" s="70">
        <v>6.4682458418084803</v>
      </c>
    </row>
    <row r="68" spans="1:15" x14ac:dyDescent="0.4">
      <c r="A68" s="27" t="s">
        <v>263</v>
      </c>
      <c r="B68" s="43" t="s">
        <v>264</v>
      </c>
      <c r="C68" s="8">
        <v>753138.96868360206</v>
      </c>
      <c r="D68" s="8">
        <v>0</v>
      </c>
      <c r="E68" s="8">
        <v>1817512.8356433101</v>
      </c>
      <c r="F68" s="8">
        <v>396.05761412155198</v>
      </c>
      <c r="G68" s="8">
        <v>302901.40056402399</v>
      </c>
      <c r="H68" s="8">
        <v>0</v>
      </c>
      <c r="I68" s="8">
        <v>5766952.3078656401</v>
      </c>
      <c r="J68" s="8">
        <v>0</v>
      </c>
      <c r="K68" s="8">
        <v>0</v>
      </c>
      <c r="L68" s="8">
        <v>0</v>
      </c>
      <c r="M68" s="8">
        <v>8640901.5703706909</v>
      </c>
      <c r="N68" s="8">
        <v>27984282.690000001</v>
      </c>
      <c r="O68" s="70">
        <v>30.877695405280001</v>
      </c>
    </row>
    <row r="69" spans="1:15" x14ac:dyDescent="0.4">
      <c r="A69" s="27" t="s">
        <v>265</v>
      </c>
      <c r="B69" s="43" t="s">
        <v>266</v>
      </c>
      <c r="C69" s="8">
        <v>24644.136811314998</v>
      </c>
      <c r="D69" s="8">
        <v>0</v>
      </c>
      <c r="E69" s="8">
        <v>76066.055451592998</v>
      </c>
      <c r="F69" s="8">
        <v>3546.4577277285498</v>
      </c>
      <c r="G69" s="8">
        <v>10415.544250475399</v>
      </c>
      <c r="H69" s="8">
        <v>1040.9044239375901</v>
      </c>
      <c r="I69" s="8">
        <v>46739.966698969198</v>
      </c>
      <c r="J69" s="8">
        <v>0</v>
      </c>
      <c r="K69" s="8">
        <v>0</v>
      </c>
      <c r="L69" s="8">
        <v>0</v>
      </c>
      <c r="M69" s="8">
        <v>162453.065364018</v>
      </c>
      <c r="N69" s="8">
        <v>1749236.993</v>
      </c>
      <c r="O69" s="70">
        <v>9.2870815112025795</v>
      </c>
    </row>
    <row r="70" spans="1:15" x14ac:dyDescent="0.4">
      <c r="A70" s="27" t="s">
        <v>267</v>
      </c>
      <c r="B70" s="43" t="s">
        <v>268</v>
      </c>
      <c r="C70" s="8">
        <v>64254.957642228299</v>
      </c>
      <c r="D70" s="8">
        <v>206792.59751907201</v>
      </c>
      <c r="E70" s="8">
        <v>620009.28916450206</v>
      </c>
      <c r="F70" s="8">
        <v>18048.388642245001</v>
      </c>
      <c r="G70" s="8">
        <v>7946.9633274647204</v>
      </c>
      <c r="H70" s="8">
        <v>7032.1398760906304</v>
      </c>
      <c r="I70" s="8">
        <v>8770.6450980176505</v>
      </c>
      <c r="J70" s="8">
        <v>0</v>
      </c>
      <c r="K70" s="8">
        <v>0</v>
      </c>
      <c r="L70" s="8">
        <v>0</v>
      </c>
      <c r="M70" s="8">
        <v>932854.98126962106</v>
      </c>
      <c r="N70" s="8">
        <v>2532053.0889999899</v>
      </c>
      <c r="O70" s="70">
        <v>36.841841323241702</v>
      </c>
    </row>
    <row r="71" spans="1:15" x14ac:dyDescent="0.4">
      <c r="A71" s="27" t="s">
        <v>269</v>
      </c>
      <c r="B71" s="43" t="s">
        <v>270</v>
      </c>
      <c r="C71" s="8">
        <v>143078.905335766</v>
      </c>
      <c r="D71" s="8">
        <v>192328.70073621199</v>
      </c>
      <c r="E71" s="8">
        <v>1137805.6008989699</v>
      </c>
      <c r="F71" s="8">
        <v>23172.841952118299</v>
      </c>
      <c r="G71" s="8">
        <v>62381.2425824854</v>
      </c>
      <c r="H71" s="8">
        <v>8822.2426549717293</v>
      </c>
      <c r="I71" s="8">
        <v>16493.9552447323</v>
      </c>
      <c r="J71" s="8">
        <v>0</v>
      </c>
      <c r="K71" s="8">
        <v>0</v>
      </c>
      <c r="L71" s="8">
        <v>0</v>
      </c>
      <c r="M71" s="8">
        <v>1584083.4894052499</v>
      </c>
      <c r="N71" s="8">
        <v>8375942.9249999998</v>
      </c>
      <c r="O71" s="70">
        <v>18.912300425032502</v>
      </c>
    </row>
    <row r="72" spans="1:15" x14ac:dyDescent="0.4">
      <c r="A72" s="27" t="s">
        <v>271</v>
      </c>
      <c r="B72" s="43" t="s">
        <v>272</v>
      </c>
      <c r="C72" s="8">
        <v>39468.131639057501</v>
      </c>
      <c r="D72" s="8">
        <v>64768.919868672798</v>
      </c>
      <c r="E72" s="8">
        <v>952512.44975674001</v>
      </c>
      <c r="F72" s="8">
        <v>29127.329639692402</v>
      </c>
      <c r="G72" s="8">
        <v>19712.897955336401</v>
      </c>
      <c r="H72" s="8">
        <v>2156.7946039333501</v>
      </c>
      <c r="I72" s="8">
        <v>48080.290376821496</v>
      </c>
      <c r="J72" s="8">
        <v>0</v>
      </c>
      <c r="K72" s="8">
        <v>0</v>
      </c>
      <c r="L72" s="8">
        <v>0</v>
      </c>
      <c r="M72" s="8">
        <v>1155826.81384025</v>
      </c>
      <c r="N72" s="8">
        <v>7804921.0589999901</v>
      </c>
      <c r="O72" s="70">
        <v>14.8089494448819</v>
      </c>
    </row>
    <row r="73" spans="1:15" x14ac:dyDescent="0.4">
      <c r="A73" s="27" t="s">
        <v>273</v>
      </c>
      <c r="B73" s="43" t="s">
        <v>274</v>
      </c>
      <c r="C73" s="8">
        <v>8950.8487493667999</v>
      </c>
      <c r="D73" s="8">
        <v>0</v>
      </c>
      <c r="E73" s="8">
        <v>26793.758732757899</v>
      </c>
      <c r="F73" s="8">
        <v>975.84494975598102</v>
      </c>
      <c r="G73" s="8">
        <v>8697.7761098333795</v>
      </c>
      <c r="H73" s="8">
        <v>0</v>
      </c>
      <c r="I73" s="8">
        <v>10510.0393437205</v>
      </c>
      <c r="J73" s="8">
        <v>0</v>
      </c>
      <c r="K73" s="8">
        <v>0</v>
      </c>
      <c r="L73" s="8">
        <v>0</v>
      </c>
      <c r="M73" s="8">
        <v>55928.267885434703</v>
      </c>
      <c r="N73" s="8">
        <v>2440340.375</v>
      </c>
      <c r="O73" s="70">
        <v>2.2918224219207399</v>
      </c>
    </row>
    <row r="74" spans="1:15" x14ac:dyDescent="0.4">
      <c r="A74" s="27" t="s">
        <v>275</v>
      </c>
      <c r="B74" s="43" t="s">
        <v>276</v>
      </c>
      <c r="C74" s="8">
        <v>29075.707191277699</v>
      </c>
      <c r="D74" s="8">
        <v>0</v>
      </c>
      <c r="E74" s="8">
        <v>350222.416431889</v>
      </c>
      <c r="F74" s="8">
        <v>23048.964081017901</v>
      </c>
      <c r="G74" s="8">
        <v>0</v>
      </c>
      <c r="H74" s="8">
        <v>0</v>
      </c>
      <c r="I74" s="8">
        <v>773632.352666085</v>
      </c>
      <c r="J74" s="8">
        <v>0</v>
      </c>
      <c r="K74" s="8">
        <v>0</v>
      </c>
      <c r="L74" s="8">
        <v>0</v>
      </c>
      <c r="M74" s="8">
        <v>1175979.4403702701</v>
      </c>
      <c r="N74" s="8">
        <v>13166371.956</v>
      </c>
      <c r="O74" s="70">
        <v>8.9316893393275993</v>
      </c>
    </row>
    <row r="75" spans="1:15" x14ac:dyDescent="0.4">
      <c r="A75" s="27" t="s">
        <v>277</v>
      </c>
      <c r="B75" s="43" t="s">
        <v>278</v>
      </c>
      <c r="C75" s="8">
        <v>11538.288596021799</v>
      </c>
      <c r="D75" s="8">
        <v>0</v>
      </c>
      <c r="E75" s="8">
        <v>0</v>
      </c>
      <c r="F75" s="8">
        <v>0</v>
      </c>
      <c r="G75" s="8">
        <v>178.47767016191801</v>
      </c>
      <c r="H75" s="8">
        <v>8734.4823458650608</v>
      </c>
      <c r="I75" s="8">
        <v>48420.473389333798</v>
      </c>
      <c r="J75" s="8">
        <v>0</v>
      </c>
      <c r="K75" s="8">
        <v>0</v>
      </c>
      <c r="L75" s="8">
        <v>0</v>
      </c>
      <c r="M75" s="8">
        <v>68871.722001382601</v>
      </c>
      <c r="N75" s="8">
        <v>9857530.8320000004</v>
      </c>
      <c r="O75" s="70">
        <v>0.69867112946588805</v>
      </c>
    </row>
    <row r="76" spans="1:15" x14ac:dyDescent="0.4">
      <c r="A76" s="27" t="s">
        <v>279</v>
      </c>
      <c r="B76" s="43" t="s">
        <v>280</v>
      </c>
      <c r="C76" s="8">
        <v>0</v>
      </c>
      <c r="D76" s="8">
        <v>0</v>
      </c>
      <c r="E76" s="8">
        <v>0</v>
      </c>
      <c r="F76" s="8">
        <v>0</v>
      </c>
      <c r="G76" s="8">
        <v>0</v>
      </c>
      <c r="H76" s="8">
        <v>0</v>
      </c>
      <c r="I76" s="8">
        <v>0</v>
      </c>
      <c r="J76" s="8">
        <v>0</v>
      </c>
      <c r="K76" s="8">
        <v>0</v>
      </c>
      <c r="L76" s="8">
        <v>0</v>
      </c>
      <c r="M76" s="8">
        <v>0</v>
      </c>
      <c r="N76" s="8">
        <v>49163.837</v>
      </c>
      <c r="O76" s="70">
        <v>0</v>
      </c>
    </row>
    <row r="77" spans="1:15" x14ac:dyDescent="0.4">
      <c r="A77" s="27" t="s">
        <v>281</v>
      </c>
      <c r="B77" s="43" t="s">
        <v>282</v>
      </c>
      <c r="C77" s="8">
        <v>84801.525165061699</v>
      </c>
      <c r="D77" s="8">
        <v>0</v>
      </c>
      <c r="E77" s="8">
        <v>84186.511146677803</v>
      </c>
      <c r="F77" s="8">
        <v>11.300321011246799</v>
      </c>
      <c r="G77" s="8">
        <v>1047.77688729751</v>
      </c>
      <c r="H77" s="8">
        <v>31.910140692559398</v>
      </c>
      <c r="I77" s="8">
        <v>85.060955806326703</v>
      </c>
      <c r="J77" s="8">
        <v>0</v>
      </c>
      <c r="K77" s="8">
        <v>6227.1816456488496</v>
      </c>
      <c r="L77" s="8">
        <v>0</v>
      </c>
      <c r="M77" s="8">
        <v>176391.266262196</v>
      </c>
      <c r="N77" s="8">
        <v>1525798.3770000001</v>
      </c>
      <c r="O77" s="70">
        <v>11.560588143304599</v>
      </c>
    </row>
    <row r="78" spans="1:15" x14ac:dyDescent="0.4">
      <c r="A78" s="27" t="s">
        <v>283</v>
      </c>
      <c r="B78" s="43" t="s">
        <v>284</v>
      </c>
      <c r="C78" s="8">
        <v>78952.3039683713</v>
      </c>
      <c r="D78" s="8">
        <v>718690.74926979502</v>
      </c>
      <c r="E78" s="8">
        <v>706926.91600388405</v>
      </c>
      <c r="F78" s="8">
        <v>165.20232447273099</v>
      </c>
      <c r="G78" s="8">
        <v>38145.977879743303</v>
      </c>
      <c r="H78" s="8">
        <v>6304.1867866664397</v>
      </c>
      <c r="I78" s="8">
        <v>0</v>
      </c>
      <c r="J78" s="8">
        <v>0</v>
      </c>
      <c r="K78" s="8">
        <v>0</v>
      </c>
      <c r="L78" s="8">
        <v>0</v>
      </c>
      <c r="M78" s="8">
        <v>1549185.33623293</v>
      </c>
      <c r="N78" s="8">
        <v>3629596.6170000001</v>
      </c>
      <c r="O78" s="70">
        <v>42.682025021099797</v>
      </c>
    </row>
    <row r="79" spans="1:15" x14ac:dyDescent="0.4">
      <c r="A79" s="27" t="s">
        <v>285</v>
      </c>
      <c r="B79" s="43" t="s">
        <v>286</v>
      </c>
      <c r="C79" s="8">
        <v>0</v>
      </c>
      <c r="D79" s="8">
        <v>0</v>
      </c>
      <c r="E79" s="8">
        <v>54402.501322687902</v>
      </c>
      <c r="F79" s="8">
        <v>0</v>
      </c>
      <c r="G79" s="8">
        <v>0</v>
      </c>
      <c r="H79" s="8">
        <v>0</v>
      </c>
      <c r="I79" s="8">
        <v>11554505.0862584</v>
      </c>
      <c r="J79" s="8">
        <v>0</v>
      </c>
      <c r="K79" s="8">
        <v>0</v>
      </c>
      <c r="L79" s="8">
        <v>0</v>
      </c>
      <c r="M79" s="8">
        <v>11608907.5875811</v>
      </c>
      <c r="N79" s="8">
        <v>25997277.469999999</v>
      </c>
      <c r="O79" s="70">
        <v>44.654320441736402</v>
      </c>
    </row>
    <row r="80" spans="1:15" x14ac:dyDescent="0.4">
      <c r="A80" s="27" t="s">
        <v>287</v>
      </c>
      <c r="B80" s="43" t="s">
        <v>288</v>
      </c>
      <c r="C80" s="8">
        <v>405.20410159582701</v>
      </c>
      <c r="D80" s="8">
        <v>0.236412307086662</v>
      </c>
      <c r="E80" s="8">
        <v>220099.22316117201</v>
      </c>
      <c r="F80" s="8">
        <v>385.66522447597202</v>
      </c>
      <c r="G80" s="8">
        <v>30531.46939713</v>
      </c>
      <c r="H80" s="8">
        <v>21963.855995769602</v>
      </c>
      <c r="I80" s="8">
        <v>193223.38638457601</v>
      </c>
      <c r="J80" s="8">
        <v>0</v>
      </c>
      <c r="K80" s="8">
        <v>0</v>
      </c>
      <c r="L80" s="8">
        <v>873.15214305020504</v>
      </c>
      <c r="M80" s="8">
        <v>467482.19282007701</v>
      </c>
      <c r="N80" s="8">
        <v>767849.44</v>
      </c>
      <c r="O80" s="70">
        <v>60.882012601334601</v>
      </c>
    </row>
    <row r="81" spans="1:15" x14ac:dyDescent="0.4">
      <c r="A81" s="27" t="s">
        <v>289</v>
      </c>
      <c r="B81" s="43" t="s">
        <v>290</v>
      </c>
      <c r="C81" s="8">
        <v>268.53314890252801</v>
      </c>
      <c r="D81" s="8">
        <v>0</v>
      </c>
      <c r="E81" s="8">
        <v>0</v>
      </c>
      <c r="F81" s="8">
        <v>509.12227638283599</v>
      </c>
      <c r="G81" s="8">
        <v>17905.947788489801</v>
      </c>
      <c r="H81" s="8">
        <v>1813.73723457801</v>
      </c>
      <c r="I81" s="8">
        <v>7261.2195071804799</v>
      </c>
      <c r="J81" s="8">
        <v>245.15674903790699</v>
      </c>
      <c r="K81" s="8">
        <v>0</v>
      </c>
      <c r="L81" s="8">
        <v>0</v>
      </c>
      <c r="M81" s="8">
        <v>28003.7167045715</v>
      </c>
      <c r="N81" s="8">
        <v>415444.516</v>
      </c>
      <c r="O81" s="70">
        <v>6.7406634643292698</v>
      </c>
    </row>
    <row r="82" spans="1:15" x14ac:dyDescent="0.4">
      <c r="A82" s="27" t="s">
        <v>291</v>
      </c>
      <c r="B82" s="43" t="s">
        <v>292</v>
      </c>
      <c r="C82" s="8">
        <v>500.14207661342198</v>
      </c>
      <c r="D82" s="8">
        <v>259.99732942122199</v>
      </c>
      <c r="E82" s="8">
        <v>27985.279693277698</v>
      </c>
      <c r="F82" s="8">
        <v>1317.3506582053001</v>
      </c>
      <c r="G82" s="8">
        <v>42116.939168285702</v>
      </c>
      <c r="H82" s="8">
        <v>4220.0108411884703</v>
      </c>
      <c r="I82" s="8">
        <v>25358.1827275996</v>
      </c>
      <c r="J82" s="8">
        <v>0</v>
      </c>
      <c r="K82" s="8">
        <v>0</v>
      </c>
      <c r="L82" s="8">
        <v>192.254663627517</v>
      </c>
      <c r="M82" s="8">
        <v>101950.15715821899</v>
      </c>
      <c r="N82" s="8">
        <v>623103.44999999995</v>
      </c>
      <c r="O82" s="70">
        <v>16.361674318801899</v>
      </c>
    </row>
    <row r="83" spans="1:15" x14ac:dyDescent="0.4">
      <c r="A83" s="27" t="s">
        <v>293</v>
      </c>
      <c r="B83" s="43" t="s">
        <v>294</v>
      </c>
      <c r="C83" s="8">
        <v>9326.6335960882898</v>
      </c>
      <c r="D83" s="8">
        <v>6.6633839758462798</v>
      </c>
      <c r="E83" s="8">
        <v>63312.252915422498</v>
      </c>
      <c r="F83" s="8">
        <v>5793.3962874007002</v>
      </c>
      <c r="G83" s="8">
        <v>69821.434089513001</v>
      </c>
      <c r="H83" s="8">
        <v>5833.4561529185003</v>
      </c>
      <c r="I83" s="8">
        <v>22111.4759942565</v>
      </c>
      <c r="J83" s="8">
        <v>0</v>
      </c>
      <c r="K83" s="8">
        <v>0</v>
      </c>
      <c r="L83" s="8">
        <v>0</v>
      </c>
      <c r="M83" s="8">
        <v>176205.312419575</v>
      </c>
      <c r="N83" s="8">
        <v>1106928.274</v>
      </c>
      <c r="O83" s="70">
        <v>15.9184037989055</v>
      </c>
    </row>
    <row r="84" spans="1:15" x14ac:dyDescent="0.4">
      <c r="A84" s="27" t="s">
        <v>295</v>
      </c>
      <c r="B84" s="43" t="s">
        <v>296</v>
      </c>
      <c r="C84" s="8">
        <v>29.628765295442602</v>
      </c>
      <c r="D84" s="8">
        <v>4617.3458113427196</v>
      </c>
      <c r="E84" s="8">
        <v>339485.24953862501</v>
      </c>
      <c r="F84" s="8">
        <v>1229.6998487338601</v>
      </c>
      <c r="G84" s="8">
        <v>24611.106388829801</v>
      </c>
      <c r="H84" s="8">
        <v>26115.309453048099</v>
      </c>
      <c r="I84" s="8">
        <v>29106.180068822101</v>
      </c>
      <c r="J84" s="8">
        <v>0</v>
      </c>
      <c r="K84" s="8">
        <v>0</v>
      </c>
      <c r="L84" s="8">
        <v>0</v>
      </c>
      <c r="M84" s="8">
        <v>425194.51987469703</v>
      </c>
      <c r="N84" s="8">
        <v>782121.34299999999</v>
      </c>
      <c r="O84" s="70">
        <v>54.364265044062002</v>
      </c>
    </row>
    <row r="85" spans="1:15" x14ac:dyDescent="0.4">
      <c r="A85" s="27" t="s">
        <v>297</v>
      </c>
      <c r="B85" s="43" t="s">
        <v>298</v>
      </c>
      <c r="C85" s="8">
        <v>0</v>
      </c>
      <c r="D85" s="8">
        <v>0</v>
      </c>
      <c r="E85" s="8">
        <v>816823.89064022305</v>
      </c>
      <c r="F85" s="8">
        <v>8730.2361597480103</v>
      </c>
      <c r="G85" s="8">
        <v>41526.356530934601</v>
      </c>
      <c r="H85" s="8">
        <v>44230.8655174292</v>
      </c>
      <c r="I85" s="8">
        <v>439242.28160857997</v>
      </c>
      <c r="J85" s="8">
        <v>0</v>
      </c>
      <c r="K85" s="8">
        <v>0</v>
      </c>
      <c r="L85" s="8">
        <v>0</v>
      </c>
      <c r="M85" s="8">
        <v>1350553.63045691</v>
      </c>
      <c r="N85" s="8">
        <v>1565077.425</v>
      </c>
      <c r="O85" s="70">
        <v>86.293087414312097</v>
      </c>
    </row>
    <row r="86" spans="1:15" x14ac:dyDescent="0.4">
      <c r="A86" s="27" t="s">
        <v>299</v>
      </c>
      <c r="B86" s="43" t="s">
        <v>300</v>
      </c>
      <c r="C86" s="8">
        <v>0</v>
      </c>
      <c r="D86" s="8">
        <v>0</v>
      </c>
      <c r="E86" s="8">
        <v>204361.16993417501</v>
      </c>
      <c r="F86" s="8">
        <v>0</v>
      </c>
      <c r="G86" s="8">
        <v>0</v>
      </c>
      <c r="H86" s="8">
        <v>0</v>
      </c>
      <c r="I86" s="8">
        <v>0</v>
      </c>
      <c r="J86" s="8">
        <v>0</v>
      </c>
      <c r="K86" s="8">
        <v>0</v>
      </c>
      <c r="L86" s="8">
        <v>0</v>
      </c>
      <c r="M86" s="8">
        <v>204361.16993417501</v>
      </c>
      <c r="N86" s="8">
        <v>1010579.627</v>
      </c>
      <c r="O86" s="70">
        <v>20.222173936044999</v>
      </c>
    </row>
    <row r="87" spans="1:15" x14ac:dyDescent="0.4">
      <c r="A87" s="27" t="s">
        <v>301</v>
      </c>
      <c r="B87" s="43" t="s">
        <v>302</v>
      </c>
      <c r="C87" s="8">
        <v>113113.844915169</v>
      </c>
      <c r="D87" s="8">
        <v>0</v>
      </c>
      <c r="E87" s="8">
        <v>176665.372681143</v>
      </c>
      <c r="F87" s="8">
        <v>2.0138262297042799</v>
      </c>
      <c r="G87" s="8">
        <v>16586.485317764302</v>
      </c>
      <c r="H87" s="8">
        <v>781550.62591533596</v>
      </c>
      <c r="I87" s="8">
        <v>187470.17636172299</v>
      </c>
      <c r="J87" s="8">
        <v>0</v>
      </c>
      <c r="K87" s="8">
        <v>0</v>
      </c>
      <c r="L87" s="8">
        <v>0</v>
      </c>
      <c r="M87" s="8">
        <v>1275388.5190173599</v>
      </c>
      <c r="N87" s="8">
        <v>7301242.12099999</v>
      </c>
      <c r="O87" s="70">
        <v>17.468103342978601</v>
      </c>
    </row>
    <row r="88" spans="1:15" x14ac:dyDescent="0.4">
      <c r="A88" s="27" t="s">
        <v>303</v>
      </c>
      <c r="B88" s="43" t="s">
        <v>304</v>
      </c>
      <c r="C88" s="8">
        <v>72367.592710623896</v>
      </c>
      <c r="D88" s="8">
        <v>0</v>
      </c>
      <c r="E88" s="8">
        <v>295482.60542774497</v>
      </c>
      <c r="F88" s="8">
        <v>6022.58115213972</v>
      </c>
      <c r="G88" s="8">
        <v>25329.719132555201</v>
      </c>
      <c r="H88" s="8">
        <v>2667.4551770869498</v>
      </c>
      <c r="I88" s="8">
        <v>2041.9098386215801</v>
      </c>
      <c r="J88" s="8">
        <v>0</v>
      </c>
      <c r="K88" s="8">
        <v>0.25223108221058399</v>
      </c>
      <c r="L88" s="8">
        <v>0</v>
      </c>
      <c r="M88" s="8">
        <v>403912.11566985399</v>
      </c>
      <c r="N88" s="8">
        <v>3469788.6159999999</v>
      </c>
      <c r="O88" s="70">
        <v>11.640827738246699</v>
      </c>
    </row>
    <row r="89" spans="1:15" x14ac:dyDescent="0.4">
      <c r="A89" s="27" t="s">
        <v>305</v>
      </c>
      <c r="B89" s="43" t="s">
        <v>306</v>
      </c>
      <c r="C89" s="8">
        <v>12410.7163963329</v>
      </c>
      <c r="D89" s="8">
        <v>0</v>
      </c>
      <c r="E89" s="8">
        <v>382890.63712594402</v>
      </c>
      <c r="F89" s="8">
        <v>0</v>
      </c>
      <c r="G89" s="8">
        <v>1021.96200881714</v>
      </c>
      <c r="H89" s="8">
        <v>74.895554599126996</v>
      </c>
      <c r="I89" s="8">
        <v>142.271372500653</v>
      </c>
      <c r="J89" s="8">
        <v>0</v>
      </c>
      <c r="K89" s="8">
        <v>0</v>
      </c>
      <c r="L89" s="8">
        <v>0</v>
      </c>
      <c r="M89" s="8">
        <v>396540.48245819402</v>
      </c>
      <c r="N89" s="8">
        <v>844771.08299999998</v>
      </c>
      <c r="O89" s="70">
        <v>46.9405843119034</v>
      </c>
    </row>
    <row r="90" spans="1:15" x14ac:dyDescent="0.4">
      <c r="A90" s="27" t="s">
        <v>307</v>
      </c>
      <c r="B90" s="43" t="s">
        <v>308</v>
      </c>
      <c r="C90" s="8">
        <v>8.1698013232525408</v>
      </c>
      <c r="D90" s="8">
        <v>0</v>
      </c>
      <c r="E90" s="8">
        <v>979664.84011100896</v>
      </c>
      <c r="F90" s="8">
        <v>4251.5194165740504</v>
      </c>
      <c r="G90" s="8">
        <v>21866.562342775898</v>
      </c>
      <c r="H90" s="8">
        <v>18250.898521726202</v>
      </c>
      <c r="I90" s="8">
        <v>40387.765281390501</v>
      </c>
      <c r="J90" s="8">
        <v>379.98737477419098</v>
      </c>
      <c r="K90" s="8">
        <v>133.847376912941</v>
      </c>
      <c r="L90" s="8">
        <v>0</v>
      </c>
      <c r="M90" s="8">
        <v>1064943.59022648</v>
      </c>
      <c r="N90" s="8">
        <v>1989106.737</v>
      </c>
      <c r="O90" s="70">
        <v>53.538785547157197</v>
      </c>
    </row>
    <row r="91" spans="1:15" x14ac:dyDescent="0.4">
      <c r="A91" s="27" t="s">
        <v>309</v>
      </c>
      <c r="B91" s="43" t="s">
        <v>310</v>
      </c>
      <c r="C91" s="8">
        <v>610730.97223180998</v>
      </c>
      <c r="D91" s="8">
        <v>0</v>
      </c>
      <c r="E91" s="8">
        <v>1146638.6431195</v>
      </c>
      <c r="F91" s="8">
        <v>608.86885439703599</v>
      </c>
      <c r="G91" s="8">
        <v>9553.6485836455104</v>
      </c>
      <c r="H91" s="8">
        <v>0.32933441780259498</v>
      </c>
      <c r="I91" s="8">
        <v>41474.506854416097</v>
      </c>
      <c r="J91" s="8">
        <v>0</v>
      </c>
      <c r="K91" s="8">
        <v>0</v>
      </c>
      <c r="L91" s="8">
        <v>0</v>
      </c>
      <c r="M91" s="8">
        <v>1809006.9689781901</v>
      </c>
      <c r="N91" s="8">
        <v>5087577.33</v>
      </c>
      <c r="O91" s="70">
        <v>35.557336068603597</v>
      </c>
    </row>
    <row r="92" spans="1:15" ht="15" thickBot="1" x14ac:dyDescent="0.45">
      <c r="A92" s="69" t="s">
        <v>88</v>
      </c>
      <c r="B92" s="7"/>
      <c r="C92" s="5">
        <f>SUM(C3:C91)</f>
        <v>15991328.923310157</v>
      </c>
      <c r="D92" s="5">
        <f t="shared" ref="D92:N92" si="0">SUM(D3:D91)</f>
        <v>3865357.1957195722</v>
      </c>
      <c r="E92" s="5">
        <f t="shared" si="0"/>
        <v>39478068.247736804</v>
      </c>
      <c r="F92" s="5">
        <f t="shared" si="0"/>
        <v>2453127.0951262894</v>
      </c>
      <c r="G92" s="5">
        <f t="shared" si="0"/>
        <v>4371035.1019643676</v>
      </c>
      <c r="H92" s="5">
        <f t="shared" si="0"/>
        <v>7241745.9050723426</v>
      </c>
      <c r="I92" s="5">
        <f t="shared" si="0"/>
        <v>99885363.770476639</v>
      </c>
      <c r="J92" s="5">
        <f t="shared" si="0"/>
        <v>2824.8299125018552</v>
      </c>
      <c r="K92" s="5">
        <f t="shared" si="0"/>
        <v>6734.7505085033508</v>
      </c>
      <c r="L92" s="22">
        <f t="shared" si="0"/>
        <v>1065.406806677722</v>
      </c>
      <c r="M92" s="22">
        <f t="shared" si="0"/>
        <v>173296651.22663397</v>
      </c>
      <c r="N92" s="22">
        <f t="shared" si="0"/>
        <v>768928319.47800028</v>
      </c>
      <c r="O92" s="71">
        <f>M92/N92*100</f>
        <v>22.537426030072513</v>
      </c>
    </row>
    <row r="95" spans="1:15" x14ac:dyDescent="0.4">
      <c r="A95" s="28"/>
    </row>
    <row r="96" spans="1:15" s="30" customFormat="1" ht="26.15" customHeight="1" x14ac:dyDescent="0.4">
      <c r="A96" s="76" t="s">
        <v>1186</v>
      </c>
      <c r="B96" s="76"/>
      <c r="C96" s="76"/>
      <c r="D96" s="76"/>
      <c r="E96" s="76"/>
      <c r="F96" s="76"/>
      <c r="G96" s="76"/>
    </row>
    <row r="97" spans="1:7" s="30" customFormat="1" ht="26.15" customHeight="1" x14ac:dyDescent="0.4">
      <c r="A97" s="76" t="s">
        <v>1183</v>
      </c>
      <c r="B97" s="76"/>
      <c r="C97" s="76"/>
      <c r="D97" s="76"/>
      <c r="E97" s="76"/>
      <c r="F97" s="76"/>
      <c r="G97" s="76"/>
    </row>
    <row r="98" spans="1:7" s="30" customFormat="1" ht="35.700000000000003" customHeight="1" x14ac:dyDescent="0.4">
      <c r="A98" s="76" t="s">
        <v>1184</v>
      </c>
      <c r="B98" s="76"/>
      <c r="C98" s="76"/>
      <c r="D98" s="76"/>
      <c r="E98" s="76"/>
      <c r="F98" s="76"/>
      <c r="G98" s="76"/>
    </row>
    <row r="99" spans="1:7" s="30" customFormat="1" ht="26.15" customHeight="1" x14ac:dyDescent="0.4">
      <c r="A99" s="76" t="s">
        <v>1205</v>
      </c>
      <c r="B99" s="76"/>
      <c r="C99" s="76"/>
      <c r="D99" s="76"/>
      <c r="E99" s="76"/>
      <c r="F99" s="76"/>
      <c r="G99" s="76"/>
    </row>
    <row r="100" spans="1:7" s="30" customFormat="1" ht="37.950000000000003" customHeight="1" x14ac:dyDescent="0.4">
      <c r="A100" s="76" t="s">
        <v>1185</v>
      </c>
      <c r="B100" s="76"/>
      <c r="C100" s="76"/>
      <c r="D100" s="76"/>
      <c r="E100" s="76"/>
      <c r="F100" s="76"/>
      <c r="G100" s="76"/>
    </row>
    <row r="101" spans="1:7" x14ac:dyDescent="0.4">
      <c r="A101" s="78" t="s">
        <v>1206</v>
      </c>
      <c r="B101" s="78"/>
      <c r="C101" s="78"/>
      <c r="D101" s="78"/>
      <c r="E101" s="78"/>
      <c r="F101" s="78"/>
    </row>
  </sheetData>
  <mergeCells count="7">
    <mergeCell ref="A101:F101"/>
    <mergeCell ref="A100:G100"/>
    <mergeCell ref="A1:O1"/>
    <mergeCell ref="A96:G96"/>
    <mergeCell ref="A97:G97"/>
    <mergeCell ref="A98:G98"/>
    <mergeCell ref="A99:G99"/>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33"/>
  <sheetViews>
    <sheetView workbookViewId="0">
      <pane ySplit="2" topLeftCell="A3" activePane="bottomLeft" state="frozen"/>
      <selection pane="bottomLeft" activeCell="E24" sqref="E24"/>
    </sheetView>
  </sheetViews>
  <sheetFormatPr defaultRowHeight="14.6" x14ac:dyDescent="0.4"/>
  <cols>
    <col min="1" max="1" width="20.69140625" customWidth="1"/>
    <col min="2" max="2" width="35.69140625" customWidth="1"/>
    <col min="3" max="3" width="20.84375" customWidth="1"/>
    <col min="4" max="4" width="20.69140625" customWidth="1"/>
    <col min="5" max="5" width="36.69140625" customWidth="1"/>
    <col min="6" max="7" width="20.69140625" customWidth="1"/>
    <col min="8" max="8" width="27.3046875" customWidth="1"/>
    <col min="9" max="9" width="24" customWidth="1"/>
  </cols>
  <sheetData>
    <row r="1" spans="1:10" ht="23.15" customHeight="1" x14ac:dyDescent="0.4">
      <c r="A1" s="75" t="s">
        <v>314</v>
      </c>
      <c r="B1" s="75"/>
      <c r="C1" s="75"/>
      <c r="D1" s="75"/>
      <c r="E1" s="75"/>
      <c r="F1" s="75"/>
      <c r="G1" s="75"/>
      <c r="H1" s="75"/>
      <c r="I1" s="75"/>
    </row>
    <row r="2" spans="1:10" s="21" customFormat="1" ht="23.15" customHeight="1" x14ac:dyDescent="0.4">
      <c r="A2" s="45" t="s">
        <v>128</v>
      </c>
      <c r="B2" s="46" t="s">
        <v>315</v>
      </c>
      <c r="C2" s="46" t="s">
        <v>316</v>
      </c>
      <c r="D2" s="46" t="s">
        <v>1218</v>
      </c>
      <c r="E2" s="46" t="s">
        <v>1167</v>
      </c>
      <c r="F2" s="46" t="s">
        <v>317</v>
      </c>
      <c r="G2" s="72" t="s">
        <v>1168</v>
      </c>
      <c r="H2" s="46" t="s">
        <v>318</v>
      </c>
      <c r="I2" s="73" t="s">
        <v>1169</v>
      </c>
    </row>
    <row r="3" spans="1:10" ht="14.15" customHeight="1" x14ac:dyDescent="0.4">
      <c r="A3" s="44" t="s">
        <v>182</v>
      </c>
      <c r="B3" s="2" t="s">
        <v>319</v>
      </c>
      <c r="C3" s="2" t="s">
        <v>320</v>
      </c>
      <c r="D3" s="43" t="s">
        <v>29</v>
      </c>
      <c r="E3" s="2" t="s">
        <v>29</v>
      </c>
      <c r="F3" s="8">
        <v>2866760.3709999998</v>
      </c>
      <c r="G3" s="8">
        <v>145486.42166900309</v>
      </c>
      <c r="H3" s="3">
        <v>5.0749418451830248</v>
      </c>
      <c r="I3" s="58">
        <v>8.3952240645861334E-2</v>
      </c>
      <c r="J3" s="1"/>
    </row>
    <row r="4" spans="1:10" ht="14.15" customHeight="1" x14ac:dyDescent="0.4">
      <c r="A4" s="44" t="s">
        <v>135</v>
      </c>
      <c r="B4" s="2" t="s">
        <v>321</v>
      </c>
      <c r="C4" s="2" t="s">
        <v>322</v>
      </c>
      <c r="D4" s="43" t="s">
        <v>21</v>
      </c>
      <c r="E4" s="2" t="s">
        <v>21</v>
      </c>
      <c r="F4" s="8">
        <v>1038621.409</v>
      </c>
      <c r="G4" s="8">
        <v>965535.47189104743</v>
      </c>
      <c r="H4" s="3">
        <v>92.963178259600795</v>
      </c>
      <c r="I4" s="58">
        <v>0.55715760521438851</v>
      </c>
      <c r="J4" s="1"/>
    </row>
    <row r="5" spans="1:10" ht="14.15" customHeight="1" x14ac:dyDescent="0.4">
      <c r="A5" s="44" t="s">
        <v>204</v>
      </c>
      <c r="B5" s="2" t="s">
        <v>323</v>
      </c>
      <c r="C5" s="2" t="s">
        <v>324</v>
      </c>
      <c r="D5" s="43" t="s">
        <v>21</v>
      </c>
      <c r="E5" s="2" t="s">
        <v>21</v>
      </c>
      <c r="F5" s="8">
        <v>722845.20299999998</v>
      </c>
      <c r="G5" s="8">
        <v>684481.16577436647</v>
      </c>
      <c r="H5" s="3">
        <v>94.692634458053732</v>
      </c>
      <c r="I5" s="58">
        <v>0.39497656817338828</v>
      </c>
      <c r="J5" s="1"/>
    </row>
    <row r="6" spans="1:10" ht="14.15" customHeight="1" x14ac:dyDescent="0.4">
      <c r="A6" s="44" t="s">
        <v>143</v>
      </c>
      <c r="B6" s="2" t="s">
        <v>325</v>
      </c>
      <c r="C6" s="2" t="s">
        <v>326</v>
      </c>
      <c r="D6" s="43" t="s">
        <v>29</v>
      </c>
      <c r="E6" s="2" t="s">
        <v>29</v>
      </c>
      <c r="F6" s="8">
        <v>382283.52399999998</v>
      </c>
      <c r="G6" s="8">
        <v>195.87755267640219</v>
      </c>
      <c r="H6" s="3">
        <v>5.1238816318016939E-2</v>
      </c>
      <c r="I6" s="58">
        <v>1.130302006933976E-4</v>
      </c>
      <c r="J6" s="1"/>
    </row>
    <row r="7" spans="1:10" ht="14.15" customHeight="1" x14ac:dyDescent="0.4">
      <c r="A7" s="44" t="s">
        <v>264</v>
      </c>
      <c r="B7" s="2" t="s">
        <v>327</v>
      </c>
      <c r="C7" s="2" t="s">
        <v>328</v>
      </c>
      <c r="D7" s="43" t="s">
        <v>21</v>
      </c>
      <c r="E7" s="2" t="s">
        <v>170</v>
      </c>
      <c r="F7" s="8">
        <v>1355194.952</v>
      </c>
      <c r="G7" s="8">
        <v>0</v>
      </c>
      <c r="H7" s="3">
        <v>0</v>
      </c>
      <c r="I7" s="58">
        <v>0</v>
      </c>
      <c r="J7" s="1"/>
    </row>
    <row r="8" spans="1:10" ht="14.15" customHeight="1" x14ac:dyDescent="0.4">
      <c r="A8" s="44" t="s">
        <v>302</v>
      </c>
      <c r="B8" s="2" t="s">
        <v>329</v>
      </c>
      <c r="C8" s="2" t="s">
        <v>330</v>
      </c>
      <c r="D8" s="43" t="s">
        <v>21</v>
      </c>
      <c r="E8" s="2" t="s">
        <v>21</v>
      </c>
      <c r="F8" s="8">
        <v>689003.99699999997</v>
      </c>
      <c r="G8" s="8">
        <v>7118.3159504541709</v>
      </c>
      <c r="H8" s="3">
        <v>1.033131299883326</v>
      </c>
      <c r="I8" s="58">
        <v>4.1075900198123041E-3</v>
      </c>
      <c r="J8" s="1"/>
    </row>
    <row r="9" spans="1:10" ht="14.15" customHeight="1" x14ac:dyDescent="0.4">
      <c r="A9" s="44" t="s">
        <v>145</v>
      </c>
      <c r="B9" s="2" t="s">
        <v>331</v>
      </c>
      <c r="C9" s="2" t="s">
        <v>332</v>
      </c>
      <c r="D9" s="43" t="s">
        <v>29</v>
      </c>
      <c r="E9" s="2" t="s">
        <v>29</v>
      </c>
      <c r="F9" s="8">
        <v>715288.45</v>
      </c>
      <c r="G9" s="8">
        <v>114028.0056496731</v>
      </c>
      <c r="H9" s="3">
        <v>15.941541576642701</v>
      </c>
      <c r="I9" s="58">
        <v>6.5799312821428521E-2</v>
      </c>
      <c r="J9" s="1"/>
    </row>
    <row r="10" spans="1:10" ht="14.15" customHeight="1" x14ac:dyDescent="0.4">
      <c r="A10" s="44" t="s">
        <v>198</v>
      </c>
      <c r="B10" s="2" t="s">
        <v>333</v>
      </c>
      <c r="C10" s="2" t="s">
        <v>334</v>
      </c>
      <c r="D10" s="43" t="s">
        <v>35</v>
      </c>
      <c r="E10" s="2" t="s">
        <v>35</v>
      </c>
      <c r="F10" s="8">
        <v>1089865.4439999999</v>
      </c>
      <c r="G10" s="8">
        <v>1045.580912354091</v>
      </c>
      <c r="H10" s="3">
        <v>9.5936697333628973E-2</v>
      </c>
      <c r="I10" s="58">
        <v>6.0334744206147332E-4</v>
      </c>
      <c r="J10" s="1"/>
    </row>
    <row r="11" spans="1:10" ht="14.15" customHeight="1" x14ac:dyDescent="0.4">
      <c r="A11" s="44" t="s">
        <v>248</v>
      </c>
      <c r="B11" s="2" t="s">
        <v>335</v>
      </c>
      <c r="C11" s="2" t="s">
        <v>336</v>
      </c>
      <c r="D11" s="43" t="s">
        <v>10</v>
      </c>
      <c r="E11" s="2" t="s">
        <v>10</v>
      </c>
      <c r="F11" s="8">
        <v>290577.02899999998</v>
      </c>
      <c r="G11" s="8">
        <v>10116.391044179811</v>
      </c>
      <c r="H11" s="3">
        <v>3.481483405276268</v>
      </c>
      <c r="I11" s="58">
        <v>5.8376148486272636E-3</v>
      </c>
      <c r="J11" s="1"/>
    </row>
    <row r="12" spans="1:10" ht="14.15" customHeight="1" x14ac:dyDescent="0.4">
      <c r="A12" s="44" t="s">
        <v>212</v>
      </c>
      <c r="B12" s="2" t="s">
        <v>337</v>
      </c>
      <c r="C12" s="2" t="s">
        <v>338</v>
      </c>
      <c r="D12" s="43" t="s">
        <v>29</v>
      </c>
      <c r="E12" s="2" t="s">
        <v>29</v>
      </c>
      <c r="F12" s="8">
        <v>1589436.5689999999</v>
      </c>
      <c r="G12" s="8">
        <v>11054.06083364971</v>
      </c>
      <c r="H12" s="3">
        <v>0.69547039807976807</v>
      </c>
      <c r="I12" s="58">
        <v>6.3786926956790379E-3</v>
      </c>
      <c r="J12" s="1"/>
    </row>
    <row r="13" spans="1:10" ht="14.15" customHeight="1" x14ac:dyDescent="0.4">
      <c r="A13" s="44" t="s">
        <v>196</v>
      </c>
      <c r="B13" s="2" t="s">
        <v>339</v>
      </c>
      <c r="C13" s="2" t="s">
        <v>340</v>
      </c>
      <c r="D13" s="43" t="s">
        <v>7</v>
      </c>
      <c r="E13" s="2" t="s">
        <v>7</v>
      </c>
      <c r="F13" s="8">
        <v>3687030.017</v>
      </c>
      <c r="G13" s="8">
        <v>394044.29157599132</v>
      </c>
      <c r="H13" s="3">
        <v>10.687309019974039</v>
      </c>
      <c r="I13" s="58">
        <v>0.22738136529866751</v>
      </c>
      <c r="J13" s="1"/>
    </row>
    <row r="14" spans="1:10" ht="14.15" customHeight="1" x14ac:dyDescent="0.4">
      <c r="A14" s="44" t="s">
        <v>180</v>
      </c>
      <c r="B14" s="2" t="s">
        <v>341</v>
      </c>
      <c r="C14" s="2" t="s">
        <v>342</v>
      </c>
      <c r="D14" s="43" t="s">
        <v>21</v>
      </c>
      <c r="E14" s="2" t="s">
        <v>21</v>
      </c>
      <c r="F14" s="8">
        <v>1218620.9809999999</v>
      </c>
      <c r="G14" s="8">
        <v>209.12077650973421</v>
      </c>
      <c r="H14" s="3">
        <v>1.716044445075365E-2</v>
      </c>
      <c r="I14" s="58">
        <v>1.206721393803794E-4</v>
      </c>
      <c r="J14" s="1"/>
    </row>
    <row r="15" spans="1:10" ht="14.15" customHeight="1" x14ac:dyDescent="0.4">
      <c r="A15" s="44" t="s">
        <v>149</v>
      </c>
      <c r="B15" s="2" t="s">
        <v>343</v>
      </c>
      <c r="C15" s="2" t="s">
        <v>344</v>
      </c>
      <c r="D15" s="43" t="s">
        <v>21</v>
      </c>
      <c r="E15" s="2" t="s">
        <v>21</v>
      </c>
      <c r="F15" s="8">
        <v>3531110.7779999999</v>
      </c>
      <c r="G15" s="8">
        <v>112943.5601046885</v>
      </c>
      <c r="H15" s="3">
        <v>3.1985278062745768</v>
      </c>
      <c r="I15" s="58">
        <v>6.5173538729829741E-2</v>
      </c>
      <c r="J15" s="1"/>
    </row>
    <row r="16" spans="1:10" ht="14.15" customHeight="1" x14ac:dyDescent="0.4">
      <c r="A16" s="44" t="s">
        <v>308</v>
      </c>
      <c r="B16" s="2" t="s">
        <v>345</v>
      </c>
      <c r="C16" s="2" t="s">
        <v>346</v>
      </c>
      <c r="D16" s="43" t="s">
        <v>29</v>
      </c>
      <c r="E16" s="2" t="s">
        <v>29</v>
      </c>
      <c r="F16" s="8">
        <v>177037.19500000001</v>
      </c>
      <c r="G16" s="8">
        <v>47952.194266370418</v>
      </c>
      <c r="H16" s="3">
        <v>27.08594330494811</v>
      </c>
      <c r="I16" s="58">
        <v>2.767058331880826E-2</v>
      </c>
      <c r="J16" s="1"/>
    </row>
    <row r="17" spans="1:10" ht="14.15" customHeight="1" x14ac:dyDescent="0.4">
      <c r="A17" s="44" t="s">
        <v>196</v>
      </c>
      <c r="B17" s="2" t="s">
        <v>347</v>
      </c>
      <c r="C17" s="2" t="s">
        <v>348</v>
      </c>
      <c r="D17" s="43" t="s">
        <v>7</v>
      </c>
      <c r="E17" s="2" t="s">
        <v>7</v>
      </c>
      <c r="F17" s="8">
        <v>9669570.9930000007</v>
      </c>
      <c r="G17" s="8">
        <v>997748.91643068485</v>
      </c>
      <c r="H17" s="3">
        <v>10.31844036465502</v>
      </c>
      <c r="I17" s="58">
        <v>0.57574621861898878</v>
      </c>
      <c r="J17" s="1"/>
    </row>
    <row r="18" spans="1:10" ht="14.15" customHeight="1" x14ac:dyDescent="0.4">
      <c r="A18" s="44" t="s">
        <v>276</v>
      </c>
      <c r="B18" s="2" t="s">
        <v>349</v>
      </c>
      <c r="C18" s="2" t="s">
        <v>350</v>
      </c>
      <c r="D18" s="43" t="s">
        <v>35</v>
      </c>
      <c r="E18" s="2" t="s">
        <v>35</v>
      </c>
      <c r="F18" s="8">
        <v>2688870.2059999998</v>
      </c>
      <c r="G18" s="8">
        <v>45435.548255745693</v>
      </c>
      <c r="H18" s="3">
        <v>1.689763535419444</v>
      </c>
      <c r="I18" s="58">
        <v>2.621836482940796E-2</v>
      </c>
      <c r="J18" s="1"/>
    </row>
    <row r="19" spans="1:10" ht="14.15" customHeight="1" x14ac:dyDescent="0.4">
      <c r="A19" s="44" t="s">
        <v>145</v>
      </c>
      <c r="B19" s="2" t="s">
        <v>351</v>
      </c>
      <c r="C19" s="2" t="s">
        <v>352</v>
      </c>
      <c r="D19" s="43" t="s">
        <v>29</v>
      </c>
      <c r="E19" s="2" t="s">
        <v>29</v>
      </c>
      <c r="F19" s="8">
        <v>1547554.66</v>
      </c>
      <c r="G19" s="8">
        <v>12251.43513379646</v>
      </c>
      <c r="H19" s="3">
        <v>0.79166412989874346</v>
      </c>
      <c r="I19" s="58">
        <v>7.0696317828866989E-3</v>
      </c>
      <c r="J19" s="1"/>
    </row>
    <row r="20" spans="1:10" ht="14.15" customHeight="1" x14ac:dyDescent="0.4">
      <c r="A20" s="44" t="s">
        <v>145</v>
      </c>
      <c r="B20" s="2" t="s">
        <v>353</v>
      </c>
      <c r="C20" s="2" t="s">
        <v>354</v>
      </c>
      <c r="D20" s="43" t="s">
        <v>29</v>
      </c>
      <c r="E20" s="2" t="s">
        <v>29</v>
      </c>
      <c r="F20" s="8">
        <v>1301711.737</v>
      </c>
      <c r="G20" s="8">
        <v>7866.7423176851516</v>
      </c>
      <c r="H20" s="3">
        <v>0.60433827967283305</v>
      </c>
      <c r="I20" s="58">
        <v>4.5394658592664673E-3</v>
      </c>
      <c r="J20" s="1"/>
    </row>
    <row r="21" spans="1:10" ht="14.15" customHeight="1" x14ac:dyDescent="0.4">
      <c r="A21" s="44" t="s">
        <v>180</v>
      </c>
      <c r="B21" s="2" t="s">
        <v>355</v>
      </c>
      <c r="C21" s="2" t="s">
        <v>356</v>
      </c>
      <c r="D21" s="43" t="s">
        <v>21</v>
      </c>
      <c r="E21" s="2" t="s">
        <v>170</v>
      </c>
      <c r="F21" s="8">
        <v>2996896.7340000002</v>
      </c>
      <c r="G21" s="8">
        <v>0</v>
      </c>
      <c r="H21" s="3">
        <v>0</v>
      </c>
      <c r="I21" s="58">
        <v>0</v>
      </c>
      <c r="J21" s="1"/>
    </row>
    <row r="22" spans="1:10" ht="14.15" customHeight="1" x14ac:dyDescent="0.4">
      <c r="A22" s="44" t="s">
        <v>230</v>
      </c>
      <c r="B22" s="2" t="s">
        <v>357</v>
      </c>
      <c r="C22" s="2" t="s">
        <v>358</v>
      </c>
      <c r="D22" s="43" t="s">
        <v>1211</v>
      </c>
      <c r="E22" s="2" t="s">
        <v>359</v>
      </c>
      <c r="F22" s="8">
        <v>9479613.5850000009</v>
      </c>
      <c r="G22" s="8">
        <v>168014.87540578039</v>
      </c>
      <c r="H22" s="3">
        <v>1.7723810564561151</v>
      </c>
      <c r="I22" s="58">
        <v>9.6952176638458759E-2</v>
      </c>
      <c r="J22" s="1"/>
    </row>
    <row r="23" spans="1:10" ht="14.15" customHeight="1" x14ac:dyDescent="0.4">
      <c r="A23" s="44" t="s">
        <v>165</v>
      </c>
      <c r="B23" s="2" t="s">
        <v>360</v>
      </c>
      <c r="C23" s="2" t="s">
        <v>361</v>
      </c>
      <c r="D23" s="43" t="s">
        <v>10</v>
      </c>
      <c r="E23" s="2" t="s">
        <v>10</v>
      </c>
      <c r="F23" s="8">
        <v>1773541.949</v>
      </c>
      <c r="G23" s="8">
        <v>97961.587889832808</v>
      </c>
      <c r="H23" s="3">
        <v>5.5234999062225629</v>
      </c>
      <c r="I23" s="58">
        <v>5.6528263642971567E-2</v>
      </c>
      <c r="J23" s="1"/>
    </row>
    <row r="24" spans="1:10" ht="14.15" customHeight="1" x14ac:dyDescent="0.4">
      <c r="A24" s="44" t="s">
        <v>147</v>
      </c>
      <c r="B24" s="2" t="s">
        <v>362</v>
      </c>
      <c r="C24" s="2" t="s">
        <v>363</v>
      </c>
      <c r="D24" s="43" t="s">
        <v>1207</v>
      </c>
      <c r="E24" s="2" t="s">
        <v>364</v>
      </c>
      <c r="F24" s="8">
        <v>1802995.7050000001</v>
      </c>
      <c r="G24" s="8">
        <v>97284.456401667354</v>
      </c>
      <c r="H24" s="3">
        <v>5.3957120436771842</v>
      </c>
      <c r="I24" s="58">
        <v>5.6137528170951453E-2</v>
      </c>
      <c r="J24" s="1"/>
    </row>
    <row r="25" spans="1:10" ht="14.15" customHeight="1" x14ac:dyDescent="0.4">
      <c r="A25" s="44" t="s">
        <v>147</v>
      </c>
      <c r="B25" s="2" t="s">
        <v>365</v>
      </c>
      <c r="C25" s="2" t="s">
        <v>366</v>
      </c>
      <c r="D25" s="43" t="s">
        <v>1207</v>
      </c>
      <c r="E25" s="2" t="s">
        <v>364</v>
      </c>
      <c r="F25" s="8">
        <v>1954973.1810000001</v>
      </c>
      <c r="G25" s="8">
        <v>17689.37532832579</v>
      </c>
      <c r="H25" s="3">
        <v>0.90483979525884817</v>
      </c>
      <c r="I25" s="58">
        <v>1.0207569045977661E-2</v>
      </c>
      <c r="J25" s="1"/>
    </row>
    <row r="26" spans="1:10" ht="14.15" customHeight="1" x14ac:dyDescent="0.4">
      <c r="A26" s="44" t="s">
        <v>240</v>
      </c>
      <c r="B26" s="2" t="s">
        <v>367</v>
      </c>
      <c r="C26" s="2" t="s">
        <v>368</v>
      </c>
      <c r="D26" s="43" t="s">
        <v>10</v>
      </c>
      <c r="E26" s="2" t="s">
        <v>10</v>
      </c>
      <c r="F26" s="8">
        <v>110903.045</v>
      </c>
      <c r="G26" s="8">
        <v>72802.646401165053</v>
      </c>
      <c r="H26" s="3">
        <v>65.645308838152332</v>
      </c>
      <c r="I26" s="58">
        <v>4.2010417331120258E-2</v>
      </c>
      <c r="J26" s="1"/>
    </row>
    <row r="27" spans="1:10" ht="14.15" customHeight="1" x14ac:dyDescent="0.4">
      <c r="A27" s="44" t="s">
        <v>143</v>
      </c>
      <c r="B27" s="2" t="s">
        <v>369</v>
      </c>
      <c r="C27" s="2" t="s">
        <v>370</v>
      </c>
      <c r="D27" s="43" t="s">
        <v>29</v>
      </c>
      <c r="E27" s="2" t="s">
        <v>29</v>
      </c>
      <c r="F27" s="8">
        <v>1274731.1129999999</v>
      </c>
      <c r="G27" s="8">
        <v>15361.89380138737</v>
      </c>
      <c r="H27" s="3">
        <v>1.2051085632666569</v>
      </c>
      <c r="I27" s="58">
        <v>8.8645070130624441E-3</v>
      </c>
      <c r="J27" s="1"/>
    </row>
    <row r="28" spans="1:10" ht="14.15" customHeight="1" x14ac:dyDescent="0.4">
      <c r="A28" s="44" t="s">
        <v>268</v>
      </c>
      <c r="B28" s="2" t="s">
        <v>371</v>
      </c>
      <c r="C28" s="2" t="s">
        <v>372</v>
      </c>
      <c r="D28" s="43" t="s">
        <v>10</v>
      </c>
      <c r="E28" s="2" t="s">
        <v>10</v>
      </c>
      <c r="F28" s="8">
        <v>174020.424</v>
      </c>
      <c r="G28" s="8">
        <v>28270.791393431009</v>
      </c>
      <c r="H28" s="3">
        <v>16.245674354540711</v>
      </c>
      <c r="I28" s="58">
        <v>1.6313524348753258E-2</v>
      </c>
      <c r="J28" s="1"/>
    </row>
    <row r="29" spans="1:10" ht="14.15" customHeight="1" x14ac:dyDescent="0.4">
      <c r="A29" s="44" t="s">
        <v>270</v>
      </c>
      <c r="B29" s="2" t="s">
        <v>373</v>
      </c>
      <c r="C29" s="2" t="s">
        <v>374</v>
      </c>
      <c r="D29" s="43" t="s">
        <v>10</v>
      </c>
      <c r="E29" s="2" t="s">
        <v>10</v>
      </c>
      <c r="F29" s="8">
        <v>161486.48300000001</v>
      </c>
      <c r="G29" s="8">
        <v>4934.4451871667834</v>
      </c>
      <c r="H29" s="3">
        <v>3.0556397634635362</v>
      </c>
      <c r="I29" s="58">
        <v>2.847397888095138E-3</v>
      </c>
      <c r="J29" s="1"/>
    </row>
    <row r="30" spans="1:10" ht="14.15" customHeight="1" x14ac:dyDescent="0.4">
      <c r="A30" s="44" t="s">
        <v>151</v>
      </c>
      <c r="B30" s="2" t="s">
        <v>375</v>
      </c>
      <c r="C30" s="2" t="s">
        <v>376</v>
      </c>
      <c r="D30" s="43" t="s">
        <v>29</v>
      </c>
      <c r="E30" s="2" t="s">
        <v>29</v>
      </c>
      <c r="F30" s="8">
        <v>504409.09299999999</v>
      </c>
      <c r="G30" s="8">
        <v>187011.6101895702</v>
      </c>
      <c r="H30" s="3">
        <v>37.075384402233652</v>
      </c>
      <c r="I30" s="58">
        <v>0.1079141511771048</v>
      </c>
      <c r="J30" s="1"/>
    </row>
    <row r="31" spans="1:10" ht="14.15" customHeight="1" x14ac:dyDescent="0.4">
      <c r="A31" s="44" t="s">
        <v>248</v>
      </c>
      <c r="B31" s="2" t="s">
        <v>377</v>
      </c>
      <c r="C31" s="2" t="s">
        <v>378</v>
      </c>
      <c r="D31" s="43" t="s">
        <v>10</v>
      </c>
      <c r="E31" s="2" t="s">
        <v>10</v>
      </c>
      <c r="F31" s="8">
        <v>24624.896000000001</v>
      </c>
      <c r="G31" s="8">
        <v>54.586388182973756</v>
      </c>
      <c r="H31" s="3">
        <v>0.22167154810714229</v>
      </c>
      <c r="I31" s="58">
        <v>3.1498813044913732E-5</v>
      </c>
      <c r="J31" s="1"/>
    </row>
    <row r="32" spans="1:10" ht="14.15" customHeight="1" x14ac:dyDescent="0.4">
      <c r="A32" s="44" t="s">
        <v>308</v>
      </c>
      <c r="B32" s="2" t="s">
        <v>379</v>
      </c>
      <c r="C32" s="2" t="s">
        <v>380</v>
      </c>
      <c r="D32" s="43" t="s">
        <v>29</v>
      </c>
      <c r="E32" s="2" t="s">
        <v>29</v>
      </c>
      <c r="F32" s="8">
        <v>271062.09399999998</v>
      </c>
      <c r="G32" s="8">
        <v>212333.79506264121</v>
      </c>
      <c r="H32" s="3">
        <v>78.334005293503424</v>
      </c>
      <c r="I32" s="58">
        <v>0.12252619629963581</v>
      </c>
      <c r="J32" s="1"/>
    </row>
    <row r="33" spans="1:10" ht="14.15" customHeight="1" x14ac:dyDescent="0.4">
      <c r="A33" s="44" t="s">
        <v>143</v>
      </c>
      <c r="B33" s="2" t="s">
        <v>381</v>
      </c>
      <c r="C33" s="2" t="s">
        <v>382</v>
      </c>
      <c r="D33" s="43" t="s">
        <v>29</v>
      </c>
      <c r="E33" s="2" t="s">
        <v>29</v>
      </c>
      <c r="F33" s="8">
        <v>1772127.2930000001</v>
      </c>
      <c r="G33" s="8">
        <v>33294.506727786378</v>
      </c>
      <c r="H33" s="3">
        <v>1.878787537402167</v>
      </c>
      <c r="I33" s="58">
        <v>1.9212435146392069E-2</v>
      </c>
      <c r="J33" s="1"/>
    </row>
    <row r="34" spans="1:10" ht="14.15" customHeight="1" x14ac:dyDescent="0.4">
      <c r="A34" s="44" t="s">
        <v>141</v>
      </c>
      <c r="B34" s="2" t="s">
        <v>140</v>
      </c>
      <c r="C34" s="2" t="s">
        <v>383</v>
      </c>
      <c r="D34" s="43" t="s">
        <v>57</v>
      </c>
      <c r="E34" s="2" t="s">
        <v>57</v>
      </c>
      <c r="F34" s="8">
        <v>657499.64399999997</v>
      </c>
      <c r="G34" s="8">
        <v>107167.5140203818</v>
      </c>
      <c r="H34" s="3">
        <v>16.299250501249212</v>
      </c>
      <c r="I34" s="58">
        <v>6.1840499087446273E-2</v>
      </c>
      <c r="J34" s="1"/>
    </row>
    <row r="35" spans="1:10" ht="14.15" customHeight="1" x14ac:dyDescent="0.4">
      <c r="A35" s="44" t="s">
        <v>250</v>
      </c>
      <c r="B35" s="2" t="s">
        <v>384</v>
      </c>
      <c r="C35" s="2" t="s">
        <v>385</v>
      </c>
      <c r="D35" s="43" t="s">
        <v>7</v>
      </c>
      <c r="E35" s="2" t="s">
        <v>7</v>
      </c>
      <c r="F35" s="8">
        <v>2449184.9789999998</v>
      </c>
      <c r="G35" s="8">
        <v>1587512.631606698</v>
      </c>
      <c r="H35" s="3">
        <v>64.817996403639455</v>
      </c>
      <c r="I35" s="58">
        <v>0.91606653698724727</v>
      </c>
      <c r="J35" s="1"/>
    </row>
    <row r="36" spans="1:10" ht="14.15" customHeight="1" x14ac:dyDescent="0.4">
      <c r="A36" s="44" t="s">
        <v>143</v>
      </c>
      <c r="B36" s="2" t="s">
        <v>386</v>
      </c>
      <c r="C36" s="2" t="s">
        <v>387</v>
      </c>
      <c r="D36" s="43" t="s">
        <v>29</v>
      </c>
      <c r="E36" s="2" t="s">
        <v>170</v>
      </c>
      <c r="F36" s="8">
        <v>95821.226999999999</v>
      </c>
      <c r="G36" s="8">
        <v>0</v>
      </c>
      <c r="H36" s="3">
        <v>0</v>
      </c>
      <c r="I36" s="58">
        <v>0</v>
      </c>
      <c r="J36" s="1"/>
    </row>
    <row r="37" spans="1:10" ht="14.15" customHeight="1" x14ac:dyDescent="0.4">
      <c r="A37" s="44" t="s">
        <v>147</v>
      </c>
      <c r="B37" s="2" t="s">
        <v>388</v>
      </c>
      <c r="C37" s="2" t="s">
        <v>389</v>
      </c>
      <c r="D37" s="43" t="s">
        <v>35</v>
      </c>
      <c r="E37" s="2" t="s">
        <v>35</v>
      </c>
      <c r="F37" s="8">
        <v>279257.58</v>
      </c>
      <c r="G37" s="8">
        <v>87597.507399519571</v>
      </c>
      <c r="H37" s="3">
        <v>31.367996313482191</v>
      </c>
      <c r="I37" s="58">
        <v>5.054772078945776E-2</v>
      </c>
      <c r="J37" s="1"/>
    </row>
    <row r="38" spans="1:10" ht="14.15" customHeight="1" x14ac:dyDescent="0.4">
      <c r="A38" s="44" t="s">
        <v>248</v>
      </c>
      <c r="B38" s="2" t="s">
        <v>390</v>
      </c>
      <c r="C38" s="2" t="s">
        <v>391</v>
      </c>
      <c r="D38" s="43" t="s">
        <v>10</v>
      </c>
      <c r="E38" s="2" t="s">
        <v>10</v>
      </c>
      <c r="F38" s="8">
        <v>64555.421000000002</v>
      </c>
      <c r="G38" s="8">
        <v>31077.91190001052</v>
      </c>
      <c r="H38" s="3">
        <v>48.141444077965993</v>
      </c>
      <c r="I38" s="58">
        <v>1.7933359750482051E-2</v>
      </c>
      <c r="J38" s="1"/>
    </row>
    <row r="39" spans="1:10" ht="14.15" customHeight="1" x14ac:dyDescent="0.4">
      <c r="A39" s="44" t="s">
        <v>278</v>
      </c>
      <c r="B39" s="2" t="s">
        <v>392</v>
      </c>
      <c r="C39" s="2" t="s">
        <v>393</v>
      </c>
      <c r="D39" s="43" t="s">
        <v>21</v>
      </c>
      <c r="E39" s="2" t="s">
        <v>21</v>
      </c>
      <c r="F39" s="8">
        <v>3584735.8289999999</v>
      </c>
      <c r="G39" s="8">
        <v>8734.4823458650608</v>
      </c>
      <c r="H39" s="3">
        <v>0.2436576295303087</v>
      </c>
      <c r="I39" s="58">
        <v>5.0401910735379729E-3</v>
      </c>
      <c r="J39" s="1"/>
    </row>
    <row r="40" spans="1:10" ht="14.15" customHeight="1" x14ac:dyDescent="0.4">
      <c r="A40" s="44" t="s">
        <v>176</v>
      </c>
      <c r="B40" s="2" t="s">
        <v>394</v>
      </c>
      <c r="C40" s="2" t="s">
        <v>395</v>
      </c>
      <c r="D40" s="43" t="s">
        <v>10</v>
      </c>
      <c r="E40" s="2" t="s">
        <v>10</v>
      </c>
      <c r="F40" s="8">
        <v>1999951.044</v>
      </c>
      <c r="G40" s="8">
        <v>33480.323705104667</v>
      </c>
      <c r="H40" s="3">
        <v>1.6740571628264651</v>
      </c>
      <c r="I40" s="58">
        <v>1.9319659940410319E-2</v>
      </c>
      <c r="J40" s="1"/>
    </row>
    <row r="41" spans="1:10" ht="14.15" customHeight="1" x14ac:dyDescent="0.4">
      <c r="A41" s="44" t="s">
        <v>143</v>
      </c>
      <c r="B41" s="2" t="s">
        <v>396</v>
      </c>
      <c r="C41" s="2" t="s">
        <v>397</v>
      </c>
      <c r="D41" s="43" t="s">
        <v>29</v>
      </c>
      <c r="E41" s="2" t="s">
        <v>29</v>
      </c>
      <c r="F41" s="8">
        <v>1054392.0020000001</v>
      </c>
      <c r="G41" s="8">
        <v>52351.735511086423</v>
      </c>
      <c r="H41" s="3">
        <v>4.9651112121283347</v>
      </c>
      <c r="I41" s="58">
        <v>3.0209317456816709E-2</v>
      </c>
      <c r="J41" s="1"/>
    </row>
    <row r="42" spans="1:10" ht="14.15" customHeight="1" x14ac:dyDescent="0.4">
      <c r="A42" s="44" t="s">
        <v>270</v>
      </c>
      <c r="B42" s="2" t="s">
        <v>398</v>
      </c>
      <c r="C42" s="2" t="s">
        <v>399</v>
      </c>
      <c r="D42" s="43" t="s">
        <v>1215</v>
      </c>
      <c r="E42" s="2" t="s">
        <v>400</v>
      </c>
      <c r="F42" s="8">
        <v>542031.978</v>
      </c>
      <c r="G42" s="8">
        <v>248511.67650370809</v>
      </c>
      <c r="H42" s="3">
        <v>45.848157782253217</v>
      </c>
      <c r="I42" s="58">
        <v>0.14340246897137601</v>
      </c>
      <c r="J42" s="1"/>
    </row>
    <row r="43" spans="1:10" ht="14.15" customHeight="1" x14ac:dyDescent="0.4">
      <c r="A43" s="44" t="s">
        <v>145</v>
      </c>
      <c r="B43" s="2" t="s">
        <v>401</v>
      </c>
      <c r="C43" s="2" t="s">
        <v>402</v>
      </c>
      <c r="D43" s="43" t="s">
        <v>29</v>
      </c>
      <c r="E43" s="2" t="s">
        <v>29</v>
      </c>
      <c r="F43" s="8">
        <v>220541.45600000001</v>
      </c>
      <c r="G43" s="8">
        <v>25721.046656895182</v>
      </c>
      <c r="H43" s="3">
        <v>11.662681077472881</v>
      </c>
      <c r="I43" s="58">
        <v>1.484220639858623E-2</v>
      </c>
      <c r="J43" s="1"/>
    </row>
    <row r="44" spans="1:10" ht="14.15" customHeight="1" x14ac:dyDescent="0.4">
      <c r="A44" s="44" t="s">
        <v>165</v>
      </c>
      <c r="B44" s="2" t="s">
        <v>403</v>
      </c>
      <c r="C44" s="2" t="s">
        <v>404</v>
      </c>
      <c r="D44" s="43" t="s">
        <v>10</v>
      </c>
      <c r="E44" s="2" t="s">
        <v>10</v>
      </c>
      <c r="F44" s="8">
        <v>400236.17200000002</v>
      </c>
      <c r="G44" s="8">
        <v>44931.087887459413</v>
      </c>
      <c r="H44" s="3">
        <v>11.226143719828359</v>
      </c>
      <c r="I44" s="58">
        <v>2.592726839752911E-2</v>
      </c>
      <c r="J44" s="1"/>
    </row>
    <row r="45" spans="1:10" ht="14.15" customHeight="1" x14ac:dyDescent="0.4">
      <c r="A45" s="44" t="s">
        <v>238</v>
      </c>
      <c r="B45" s="2" t="s">
        <v>405</v>
      </c>
      <c r="C45" s="2" t="s">
        <v>406</v>
      </c>
      <c r="D45" s="43" t="s">
        <v>1207</v>
      </c>
      <c r="E45" s="2" t="s">
        <v>35</v>
      </c>
      <c r="F45" s="8">
        <v>1032814.67</v>
      </c>
      <c r="G45" s="8">
        <v>3488.2472062602819</v>
      </c>
      <c r="H45" s="3">
        <v>0.33774183380453748</v>
      </c>
      <c r="I45" s="58">
        <v>2.0128762913591519E-3</v>
      </c>
      <c r="J45" s="1"/>
    </row>
    <row r="46" spans="1:10" ht="14.15" customHeight="1" x14ac:dyDescent="0.4">
      <c r="A46" s="44" t="s">
        <v>276</v>
      </c>
      <c r="B46" s="2" t="s">
        <v>407</v>
      </c>
      <c r="C46" s="2" t="s">
        <v>408</v>
      </c>
      <c r="D46" s="43" t="s">
        <v>1208</v>
      </c>
      <c r="E46" s="2" t="s">
        <v>35</v>
      </c>
      <c r="F46" s="8">
        <v>2444384.6150000002</v>
      </c>
      <c r="G46" s="8">
        <v>342689.02688961063</v>
      </c>
      <c r="H46" s="3">
        <v>14.0194396899201</v>
      </c>
      <c r="I46" s="58">
        <v>0.19774705654378039</v>
      </c>
      <c r="J46" s="1"/>
    </row>
    <row r="47" spans="1:10" ht="14.15" customHeight="1" x14ac:dyDescent="0.4">
      <c r="A47" s="44" t="s">
        <v>246</v>
      </c>
      <c r="B47" s="2" t="s">
        <v>410</v>
      </c>
      <c r="C47" s="2" t="s">
        <v>411</v>
      </c>
      <c r="D47" s="43" t="s">
        <v>1209</v>
      </c>
      <c r="E47" s="2" t="s">
        <v>412</v>
      </c>
      <c r="F47" s="8">
        <v>463723.22700000001</v>
      </c>
      <c r="G47" s="8">
        <v>52639.241863708783</v>
      </c>
      <c r="H47" s="3">
        <v>11.351435252500041</v>
      </c>
      <c r="I47" s="58">
        <v>3.037522161629545E-2</v>
      </c>
      <c r="J47" s="1"/>
    </row>
    <row r="48" spans="1:10" ht="14.15" customHeight="1" x14ac:dyDescent="0.4">
      <c r="A48" s="44" t="s">
        <v>272</v>
      </c>
      <c r="B48" s="2" t="s">
        <v>413</v>
      </c>
      <c r="C48" s="2" t="s">
        <v>414</v>
      </c>
      <c r="D48" s="43" t="s">
        <v>29</v>
      </c>
      <c r="E48" s="2" t="s">
        <v>29</v>
      </c>
      <c r="F48" s="8">
        <v>806778.31099999999</v>
      </c>
      <c r="G48" s="8">
        <v>63839.49063268138</v>
      </c>
      <c r="H48" s="3">
        <v>7.9128912815656216</v>
      </c>
      <c r="I48" s="58">
        <v>3.6838271357703962E-2</v>
      </c>
      <c r="J48" s="1"/>
    </row>
    <row r="49" spans="1:10" ht="14.15" customHeight="1" x14ac:dyDescent="0.4">
      <c r="A49" s="44" t="s">
        <v>184</v>
      </c>
      <c r="B49" s="2" t="s">
        <v>415</v>
      </c>
      <c r="C49" s="2" t="s">
        <v>416</v>
      </c>
      <c r="D49" s="43" t="s">
        <v>29</v>
      </c>
      <c r="E49" s="2" t="s">
        <v>29</v>
      </c>
      <c r="F49" s="8">
        <v>3309589.9470000002</v>
      </c>
      <c r="G49" s="8">
        <v>106332.9581611817</v>
      </c>
      <c r="H49" s="3">
        <v>3.2128740981210648</v>
      </c>
      <c r="I49" s="58">
        <v>6.1358922638453793E-2</v>
      </c>
      <c r="J49" s="1"/>
    </row>
    <row r="50" spans="1:10" ht="14.15" customHeight="1" x14ac:dyDescent="0.4">
      <c r="A50" s="44" t="s">
        <v>192</v>
      </c>
      <c r="B50" s="2" t="s">
        <v>417</v>
      </c>
      <c r="C50" s="2" t="s">
        <v>418</v>
      </c>
      <c r="D50" s="43" t="s">
        <v>35</v>
      </c>
      <c r="E50" s="2" t="s">
        <v>35</v>
      </c>
      <c r="F50" s="8">
        <v>1032917.6459999999</v>
      </c>
      <c r="G50" s="8">
        <v>5335.1662703753673</v>
      </c>
      <c r="H50" s="3">
        <v>0.51651419559303058</v>
      </c>
      <c r="I50" s="58">
        <v>3.0786320639272649E-3</v>
      </c>
      <c r="J50" s="1"/>
    </row>
    <row r="51" spans="1:10" ht="14.15" customHeight="1" x14ac:dyDescent="0.4">
      <c r="A51" s="44" t="s">
        <v>145</v>
      </c>
      <c r="B51" s="2" t="s">
        <v>419</v>
      </c>
      <c r="C51" s="2" t="s">
        <v>420</v>
      </c>
      <c r="D51" s="43" t="s">
        <v>29</v>
      </c>
      <c r="E51" s="2" t="s">
        <v>29</v>
      </c>
      <c r="F51" s="8">
        <v>281306.04300000001</v>
      </c>
      <c r="G51" s="8">
        <v>118721.0179549382</v>
      </c>
      <c r="H51" s="3">
        <v>42.203507855299868</v>
      </c>
      <c r="I51" s="58">
        <v>6.8507393024967875E-2</v>
      </c>
      <c r="J51" s="1"/>
    </row>
    <row r="52" spans="1:10" ht="14.15" customHeight="1" x14ac:dyDescent="0.4">
      <c r="A52" s="44" t="s">
        <v>163</v>
      </c>
      <c r="B52" s="2" t="s">
        <v>421</v>
      </c>
      <c r="C52" s="2" t="s">
        <v>422</v>
      </c>
      <c r="D52" s="43" t="s">
        <v>1213</v>
      </c>
      <c r="E52" s="2" t="s">
        <v>423</v>
      </c>
      <c r="F52" s="8">
        <v>1077479.5970000001</v>
      </c>
      <c r="G52" s="8">
        <v>334675.44739522663</v>
      </c>
      <c r="H52" s="3">
        <v>31.06095450225278</v>
      </c>
      <c r="I52" s="58">
        <v>0.19312285899716769</v>
      </c>
      <c r="J52" s="1"/>
    </row>
    <row r="53" spans="1:10" ht="14.15" customHeight="1" x14ac:dyDescent="0.4">
      <c r="A53" s="44" t="s">
        <v>163</v>
      </c>
      <c r="B53" s="2" t="s">
        <v>424</v>
      </c>
      <c r="C53" s="2" t="s">
        <v>425</v>
      </c>
      <c r="D53" s="43" t="s">
        <v>1213</v>
      </c>
      <c r="E53" s="2" t="s">
        <v>170</v>
      </c>
      <c r="F53" s="8">
        <v>1326712.148</v>
      </c>
      <c r="G53" s="8">
        <v>0</v>
      </c>
      <c r="H53" s="3">
        <v>0</v>
      </c>
      <c r="I53" s="58">
        <v>0</v>
      </c>
      <c r="J53" s="1"/>
    </row>
    <row r="54" spans="1:10" ht="14.15" customHeight="1" x14ac:dyDescent="0.4">
      <c r="A54" s="44" t="s">
        <v>248</v>
      </c>
      <c r="B54" s="2" t="s">
        <v>426</v>
      </c>
      <c r="C54" s="2" t="s">
        <v>427</v>
      </c>
      <c r="D54" s="43" t="s">
        <v>10</v>
      </c>
      <c r="E54" s="2" t="s">
        <v>10</v>
      </c>
      <c r="F54" s="8">
        <v>151867.11799999999</v>
      </c>
      <c r="G54" s="8">
        <v>3461.9708083129599</v>
      </c>
      <c r="H54" s="3">
        <v>2.2796052587979969</v>
      </c>
      <c r="I54" s="58">
        <v>1.9977136221665669E-3</v>
      </c>
      <c r="J54" s="1"/>
    </row>
    <row r="55" spans="1:10" ht="14.15" customHeight="1" x14ac:dyDescent="0.4">
      <c r="A55" s="44" t="s">
        <v>270</v>
      </c>
      <c r="B55" s="2" t="s">
        <v>428</v>
      </c>
      <c r="C55" s="2" t="s">
        <v>429</v>
      </c>
      <c r="D55" s="43" t="s">
        <v>10</v>
      </c>
      <c r="E55" s="2" t="s">
        <v>10</v>
      </c>
      <c r="F55" s="8">
        <v>431184.92700000003</v>
      </c>
      <c r="G55" s="8">
        <v>98641.06210351747</v>
      </c>
      <c r="H55" s="3">
        <v>22.876741724210941</v>
      </c>
      <c r="I55" s="58">
        <v>5.6920350973497097E-2</v>
      </c>
      <c r="J55" s="1"/>
    </row>
    <row r="56" spans="1:10" ht="14.15" customHeight="1" x14ac:dyDescent="0.4">
      <c r="A56" s="44" t="s">
        <v>272</v>
      </c>
      <c r="B56" s="2" t="s">
        <v>430</v>
      </c>
      <c r="C56" s="2" t="s">
        <v>431</v>
      </c>
      <c r="D56" s="43" t="s">
        <v>29</v>
      </c>
      <c r="E56" s="2" t="s">
        <v>29</v>
      </c>
      <c r="F56" s="8">
        <v>700180.96900000004</v>
      </c>
      <c r="G56" s="8">
        <v>52542.425547375227</v>
      </c>
      <c r="H56" s="3">
        <v>7.5041207735789266</v>
      </c>
      <c r="I56" s="58">
        <v>3.0319354226101661E-2</v>
      </c>
      <c r="J56" s="1"/>
    </row>
    <row r="57" spans="1:10" ht="14.15" customHeight="1" x14ac:dyDescent="0.4">
      <c r="A57" s="44" t="s">
        <v>272</v>
      </c>
      <c r="B57" s="2" t="s">
        <v>432</v>
      </c>
      <c r="C57" s="2" t="s">
        <v>433</v>
      </c>
      <c r="D57" s="43" t="s">
        <v>29</v>
      </c>
      <c r="E57" s="2" t="s">
        <v>29</v>
      </c>
      <c r="F57" s="8">
        <v>962583.09600000002</v>
      </c>
      <c r="G57" s="8">
        <v>168092.7765999898</v>
      </c>
      <c r="H57" s="3">
        <v>17.462676967681741</v>
      </c>
      <c r="I57" s="58">
        <v>9.6997129148307062E-2</v>
      </c>
      <c r="J57" s="1"/>
    </row>
    <row r="58" spans="1:10" ht="14.15" customHeight="1" x14ac:dyDescent="0.4">
      <c r="A58" s="44" t="s">
        <v>284</v>
      </c>
      <c r="B58" s="2" t="s">
        <v>434</v>
      </c>
      <c r="C58" s="2" t="s">
        <v>435</v>
      </c>
      <c r="D58" s="43" t="s">
        <v>10</v>
      </c>
      <c r="E58" s="2" t="s">
        <v>10</v>
      </c>
      <c r="F58" s="8">
        <v>257572.40299999999</v>
      </c>
      <c r="G58" s="8">
        <v>139514.80349641011</v>
      </c>
      <c r="H58" s="3">
        <v>54.165276198634579</v>
      </c>
      <c r="I58" s="58">
        <v>8.0506347069543238E-2</v>
      </c>
      <c r="J58" s="1"/>
    </row>
    <row r="59" spans="1:10" ht="14.15" customHeight="1" x14ac:dyDescent="0.4">
      <c r="A59" s="44" t="s">
        <v>272</v>
      </c>
      <c r="B59" s="2" t="s">
        <v>436</v>
      </c>
      <c r="C59" s="2" t="s">
        <v>437</v>
      </c>
      <c r="D59" s="43" t="s">
        <v>1213</v>
      </c>
      <c r="E59" s="2" t="s">
        <v>423</v>
      </c>
      <c r="F59" s="8">
        <v>630616.28299999994</v>
      </c>
      <c r="G59" s="8">
        <v>119302.9564712689</v>
      </c>
      <c r="H59" s="3">
        <v>18.91847065916452</v>
      </c>
      <c r="I59" s="58">
        <v>6.8843197849937976E-2</v>
      </c>
      <c r="J59" s="1"/>
    </row>
    <row r="60" spans="1:10" ht="14.15" customHeight="1" x14ac:dyDescent="0.4">
      <c r="A60" s="44" t="s">
        <v>159</v>
      </c>
      <c r="B60" s="2" t="s">
        <v>438</v>
      </c>
      <c r="C60" s="2" t="s">
        <v>439</v>
      </c>
      <c r="D60" s="43" t="s">
        <v>29</v>
      </c>
      <c r="E60" s="2" t="s">
        <v>29</v>
      </c>
      <c r="F60" s="8">
        <v>127696.86199999999</v>
      </c>
      <c r="G60" s="8">
        <v>7848.8551603786718</v>
      </c>
      <c r="H60" s="3">
        <v>6.1464745785050479</v>
      </c>
      <c r="I60" s="58">
        <v>4.5291441610802244E-3</v>
      </c>
      <c r="J60" s="1"/>
    </row>
    <row r="61" spans="1:10" ht="14.15" customHeight="1" x14ac:dyDescent="0.4">
      <c r="A61" s="44" t="s">
        <v>145</v>
      </c>
      <c r="B61" s="2" t="s">
        <v>440</v>
      </c>
      <c r="C61" s="2" t="s">
        <v>441</v>
      </c>
      <c r="D61" s="43" t="s">
        <v>29</v>
      </c>
      <c r="E61" s="2" t="s">
        <v>29</v>
      </c>
      <c r="F61" s="8">
        <v>301303.04599999997</v>
      </c>
      <c r="G61" s="8">
        <v>589.61688211258002</v>
      </c>
      <c r="H61" s="3">
        <v>0.19568898819316291</v>
      </c>
      <c r="I61" s="58">
        <v>3.4023558905445282E-4</v>
      </c>
      <c r="J61" s="1"/>
    </row>
    <row r="62" spans="1:10" ht="14.15" customHeight="1" x14ac:dyDescent="0.4">
      <c r="A62" s="44" t="s">
        <v>254</v>
      </c>
      <c r="B62" s="2" t="s">
        <v>442</v>
      </c>
      <c r="C62" s="2" t="s">
        <v>443</v>
      </c>
      <c r="D62" s="43" t="s">
        <v>21</v>
      </c>
      <c r="E62" s="2" t="s">
        <v>21</v>
      </c>
      <c r="F62" s="8">
        <v>828711.50600000005</v>
      </c>
      <c r="G62" s="8">
        <v>2493.0008498016559</v>
      </c>
      <c r="H62" s="3">
        <v>0.30082855514276591</v>
      </c>
      <c r="I62" s="58">
        <v>1.438574162948684E-3</v>
      </c>
      <c r="J62" s="1"/>
    </row>
    <row r="63" spans="1:10" ht="14.15" customHeight="1" x14ac:dyDescent="0.4">
      <c r="A63" s="44" t="s">
        <v>165</v>
      </c>
      <c r="B63" s="2" t="s">
        <v>444</v>
      </c>
      <c r="C63" s="2" t="s">
        <v>445</v>
      </c>
      <c r="D63" s="43" t="s">
        <v>10</v>
      </c>
      <c r="E63" s="2" t="s">
        <v>10</v>
      </c>
      <c r="F63" s="8">
        <v>2001424.831</v>
      </c>
      <c r="G63" s="8">
        <v>43567.229731468156</v>
      </c>
      <c r="H63" s="3">
        <v>2.176810692895224</v>
      </c>
      <c r="I63" s="58">
        <v>2.514026060116516E-2</v>
      </c>
      <c r="J63" s="1"/>
    </row>
    <row r="64" spans="1:10" ht="14.15" customHeight="1" x14ac:dyDescent="0.4">
      <c r="A64" s="44" t="s">
        <v>153</v>
      </c>
      <c r="B64" s="2" t="s">
        <v>446</v>
      </c>
      <c r="C64" s="2" t="s">
        <v>447</v>
      </c>
      <c r="D64" s="43" t="s">
        <v>7</v>
      </c>
      <c r="E64" s="2" t="s">
        <v>7</v>
      </c>
      <c r="F64" s="8">
        <v>2380497.872</v>
      </c>
      <c r="G64" s="8">
        <v>436540.87699361099</v>
      </c>
      <c r="H64" s="3">
        <v>18.338217485019079</v>
      </c>
      <c r="I64" s="58">
        <v>0.2519038157423541</v>
      </c>
      <c r="J64" s="1"/>
    </row>
    <row r="65" spans="1:10" ht="14.15" customHeight="1" x14ac:dyDescent="0.4">
      <c r="A65" s="44" t="s">
        <v>143</v>
      </c>
      <c r="B65" s="2" t="s">
        <v>448</v>
      </c>
      <c r="C65" s="2" t="s">
        <v>449</v>
      </c>
      <c r="D65" s="43" t="s">
        <v>29</v>
      </c>
      <c r="E65" s="2" t="s">
        <v>29</v>
      </c>
      <c r="F65" s="8">
        <v>747993.31599999999</v>
      </c>
      <c r="G65" s="8">
        <v>1647.2816249419441</v>
      </c>
      <c r="H65" s="3">
        <v>0.22022678407756571</v>
      </c>
      <c r="I65" s="58">
        <v>9.5055594743585531E-4</v>
      </c>
      <c r="J65" s="1"/>
    </row>
    <row r="66" spans="1:10" ht="14.15" customHeight="1" x14ac:dyDescent="0.4">
      <c r="A66" s="44" t="s">
        <v>151</v>
      </c>
      <c r="B66" s="2" t="s">
        <v>450</v>
      </c>
      <c r="C66" s="2" t="s">
        <v>451</v>
      </c>
      <c r="D66" s="43" t="s">
        <v>29</v>
      </c>
      <c r="E66" s="2" t="s">
        <v>29</v>
      </c>
      <c r="F66" s="8">
        <v>94367.323999999993</v>
      </c>
      <c r="G66" s="8">
        <v>577.73446588479419</v>
      </c>
      <c r="H66" s="3">
        <v>0.6122187653480502</v>
      </c>
      <c r="I66" s="58">
        <v>3.3337889785835668E-4</v>
      </c>
      <c r="J66" s="1"/>
    </row>
    <row r="67" spans="1:10" ht="14.15" customHeight="1" x14ac:dyDescent="0.4">
      <c r="A67" s="44" t="s">
        <v>182</v>
      </c>
      <c r="B67" s="2" t="s">
        <v>452</v>
      </c>
      <c r="C67" s="2" t="s">
        <v>453</v>
      </c>
      <c r="D67" s="43" t="s">
        <v>29</v>
      </c>
      <c r="E67" s="2" t="s">
        <v>29</v>
      </c>
      <c r="F67" s="8">
        <v>1007025.721</v>
      </c>
      <c r="G67" s="8">
        <v>13692.50948119482</v>
      </c>
      <c r="H67" s="3">
        <v>1.359698088704014</v>
      </c>
      <c r="I67" s="58">
        <v>7.9011968115229141E-3</v>
      </c>
      <c r="J67" s="1"/>
    </row>
    <row r="68" spans="1:10" ht="14.15" customHeight="1" x14ac:dyDescent="0.4">
      <c r="A68" s="44" t="s">
        <v>270</v>
      </c>
      <c r="B68" s="2" t="s">
        <v>454</v>
      </c>
      <c r="C68" s="2" t="s">
        <v>455</v>
      </c>
      <c r="D68" s="43" t="s">
        <v>10</v>
      </c>
      <c r="E68" s="2" t="s">
        <v>10</v>
      </c>
      <c r="F68" s="8">
        <v>80493.567999999999</v>
      </c>
      <c r="G68" s="8">
        <v>12933.005804884469</v>
      </c>
      <c r="H68" s="3">
        <v>16.067129493979529</v>
      </c>
      <c r="I68" s="58">
        <v>7.4629288640845701E-3</v>
      </c>
      <c r="J68" s="1"/>
    </row>
    <row r="69" spans="1:10" ht="14.15" customHeight="1" x14ac:dyDescent="0.4">
      <c r="A69" s="44" t="s">
        <v>242</v>
      </c>
      <c r="B69" s="2" t="s">
        <v>456</v>
      </c>
      <c r="C69" s="2" t="s">
        <v>457</v>
      </c>
      <c r="D69" s="43" t="s">
        <v>10</v>
      </c>
      <c r="E69" s="2" t="s">
        <v>10</v>
      </c>
      <c r="F69" s="8">
        <v>101460.02099999999</v>
      </c>
      <c r="G69" s="8">
        <v>15669.50034987973</v>
      </c>
      <c r="H69" s="3">
        <v>15.444014495009551</v>
      </c>
      <c r="I69" s="58">
        <v>9.0420098939981396E-3</v>
      </c>
      <c r="J69" s="1"/>
    </row>
    <row r="70" spans="1:10" ht="14.15" customHeight="1" x14ac:dyDescent="0.4">
      <c r="A70" s="44" t="s">
        <v>252</v>
      </c>
      <c r="B70" s="2" t="s">
        <v>458</v>
      </c>
      <c r="C70" s="2" t="s">
        <v>459</v>
      </c>
      <c r="D70" s="43" t="s">
        <v>1210</v>
      </c>
      <c r="E70" s="2" t="s">
        <v>460</v>
      </c>
      <c r="F70" s="8">
        <v>5788547.0609999998</v>
      </c>
      <c r="G70" s="8">
        <v>4865023.0431291172</v>
      </c>
      <c r="H70" s="3">
        <v>84.045667969202981</v>
      </c>
      <c r="I70" s="58">
        <v>2.8073381734115119</v>
      </c>
      <c r="J70" s="1"/>
    </row>
    <row r="71" spans="1:10" ht="14.15" customHeight="1" x14ac:dyDescent="0.4">
      <c r="A71" s="44" t="s">
        <v>145</v>
      </c>
      <c r="B71" s="2" t="s">
        <v>461</v>
      </c>
      <c r="C71" s="2" t="s">
        <v>462</v>
      </c>
      <c r="D71" s="43" t="s">
        <v>29</v>
      </c>
      <c r="E71" s="2" t="s">
        <v>29</v>
      </c>
      <c r="F71" s="8">
        <v>2263686.3960000002</v>
      </c>
      <c r="G71" s="8">
        <v>341256.45860335068</v>
      </c>
      <c r="H71" s="3">
        <v>15.0752533215891</v>
      </c>
      <c r="I71" s="58">
        <v>0.19692039989685739</v>
      </c>
      <c r="J71" s="1"/>
    </row>
    <row r="72" spans="1:10" ht="14.15" customHeight="1" x14ac:dyDescent="0.4">
      <c r="A72" s="44" t="s">
        <v>196</v>
      </c>
      <c r="B72" s="2" t="s">
        <v>463</v>
      </c>
      <c r="C72" s="2" t="s">
        <v>464</v>
      </c>
      <c r="D72" s="43" t="s">
        <v>7</v>
      </c>
      <c r="E72" s="2" t="s">
        <v>7</v>
      </c>
      <c r="F72" s="8">
        <v>4718656.2939999998</v>
      </c>
      <c r="G72" s="8">
        <v>1517114.4563659341</v>
      </c>
      <c r="H72" s="3">
        <v>32.151408406139232</v>
      </c>
      <c r="I72" s="58">
        <v>0.87544360818714129</v>
      </c>
      <c r="J72" s="1"/>
    </row>
    <row r="73" spans="1:10" ht="14.15" customHeight="1" x14ac:dyDescent="0.4">
      <c r="A73" s="44" t="s">
        <v>240</v>
      </c>
      <c r="B73" s="2" t="s">
        <v>465</v>
      </c>
      <c r="C73" s="2" t="s">
        <v>466</v>
      </c>
      <c r="D73" s="43" t="s">
        <v>10</v>
      </c>
      <c r="E73" s="2" t="s">
        <v>10</v>
      </c>
      <c r="F73" s="8">
        <v>20100.137999999999</v>
      </c>
      <c r="G73" s="8">
        <v>15318.34873777639</v>
      </c>
      <c r="H73" s="3">
        <v>76.210167003711092</v>
      </c>
      <c r="I73" s="58">
        <v>8.8393795433146134E-3</v>
      </c>
      <c r="J73" s="1"/>
    </row>
    <row r="74" spans="1:10" ht="14.15" customHeight="1" x14ac:dyDescent="0.4">
      <c r="A74" s="44" t="s">
        <v>176</v>
      </c>
      <c r="B74" s="2" t="s">
        <v>467</v>
      </c>
      <c r="C74" s="2" t="s">
        <v>468</v>
      </c>
      <c r="D74" s="43" t="s">
        <v>1213</v>
      </c>
      <c r="E74" s="2" t="s">
        <v>10</v>
      </c>
      <c r="F74" s="8">
        <v>4500353.9800000004</v>
      </c>
      <c r="G74" s="8">
        <v>35957.367073910333</v>
      </c>
      <c r="H74" s="3">
        <v>0.79898975133307903</v>
      </c>
      <c r="I74" s="58">
        <v>2.0749025915616739E-2</v>
      </c>
      <c r="J74" s="1"/>
    </row>
    <row r="75" spans="1:10" ht="14.15" customHeight="1" x14ac:dyDescent="0.4">
      <c r="A75" s="44" t="s">
        <v>240</v>
      </c>
      <c r="B75" s="2" t="s">
        <v>469</v>
      </c>
      <c r="C75" s="2" t="s">
        <v>470</v>
      </c>
      <c r="D75" s="43" t="s">
        <v>10</v>
      </c>
      <c r="E75" s="2" t="s">
        <v>10</v>
      </c>
      <c r="F75" s="8">
        <v>121219.495</v>
      </c>
      <c r="G75" s="8">
        <v>6864.6665805982593</v>
      </c>
      <c r="H75" s="3">
        <v>5.6630054271371613</v>
      </c>
      <c r="I75" s="58">
        <v>3.9612228695756887E-3</v>
      </c>
      <c r="J75" s="1"/>
    </row>
    <row r="76" spans="1:10" ht="14.15" customHeight="1" x14ac:dyDescent="0.4">
      <c r="A76" s="44" t="s">
        <v>206</v>
      </c>
      <c r="B76" s="2" t="s">
        <v>471</v>
      </c>
      <c r="C76" s="2" t="s">
        <v>472</v>
      </c>
      <c r="D76" s="43" t="s">
        <v>7</v>
      </c>
      <c r="E76" s="2" t="s">
        <v>7</v>
      </c>
      <c r="F76" s="8">
        <v>12590867.403999999</v>
      </c>
      <c r="G76" s="8">
        <v>3793693.3966910569</v>
      </c>
      <c r="H76" s="3">
        <v>30.130516627359899</v>
      </c>
      <c r="I76" s="58">
        <v>2.1891325480546819</v>
      </c>
      <c r="J76" s="1"/>
    </row>
    <row r="77" spans="1:10" ht="14.15" customHeight="1" x14ac:dyDescent="0.4">
      <c r="A77" s="44" t="s">
        <v>163</v>
      </c>
      <c r="B77" s="2" t="s">
        <v>473</v>
      </c>
      <c r="C77" s="2" t="s">
        <v>474</v>
      </c>
      <c r="D77" s="43" t="s">
        <v>10</v>
      </c>
      <c r="E77" s="2" t="s">
        <v>10</v>
      </c>
      <c r="F77" s="8">
        <v>580685.32999999996</v>
      </c>
      <c r="G77" s="8">
        <v>12719.17730532367</v>
      </c>
      <c r="H77" s="3">
        <v>2.1903734515427948</v>
      </c>
      <c r="I77" s="58">
        <v>7.3395401557354656E-3</v>
      </c>
      <c r="J77" s="1"/>
    </row>
    <row r="78" spans="1:10" ht="14.15" customHeight="1" x14ac:dyDescent="0.4">
      <c r="A78" s="44" t="s">
        <v>230</v>
      </c>
      <c r="B78" s="2" t="s">
        <v>475</v>
      </c>
      <c r="C78" s="2" t="s">
        <v>476</v>
      </c>
      <c r="D78" s="43" t="s">
        <v>29</v>
      </c>
      <c r="E78" s="2" t="s">
        <v>29</v>
      </c>
      <c r="F78" s="8">
        <v>9378817.1740000006</v>
      </c>
      <c r="G78" s="8">
        <v>24860.875436414339</v>
      </c>
      <c r="H78" s="3">
        <v>0.26507474210430038</v>
      </c>
      <c r="I78" s="58">
        <v>1.4345848728433719E-2</v>
      </c>
      <c r="J78" s="1"/>
    </row>
    <row r="79" spans="1:10" ht="14.15" customHeight="1" x14ac:dyDescent="0.4">
      <c r="A79" s="44" t="s">
        <v>192</v>
      </c>
      <c r="B79" s="2" t="s">
        <v>477</v>
      </c>
      <c r="C79" s="2" t="s">
        <v>478</v>
      </c>
      <c r="D79" s="43" t="s">
        <v>35</v>
      </c>
      <c r="E79" s="2" t="s">
        <v>35</v>
      </c>
      <c r="F79" s="8">
        <v>961667.29599999997</v>
      </c>
      <c r="G79" s="8">
        <v>113411.0433409894</v>
      </c>
      <c r="H79" s="3">
        <v>11.793168366306739</v>
      </c>
      <c r="I79" s="58">
        <v>6.5443297685350191E-2</v>
      </c>
      <c r="J79" s="1"/>
    </row>
    <row r="80" spans="1:10" ht="14.15" customHeight="1" x14ac:dyDescent="0.4">
      <c r="A80" s="44" t="s">
        <v>288</v>
      </c>
      <c r="B80" s="2" t="s">
        <v>479</v>
      </c>
      <c r="C80" s="2" t="s">
        <v>480</v>
      </c>
      <c r="D80" s="43" t="s">
        <v>57</v>
      </c>
      <c r="E80" s="2" t="s">
        <v>57</v>
      </c>
      <c r="F80" s="8">
        <v>767849.44</v>
      </c>
      <c r="G80" s="8">
        <v>467482.19282007689</v>
      </c>
      <c r="H80" s="3">
        <v>60.882012601334573</v>
      </c>
      <c r="I80" s="58">
        <v>0.26975835338486243</v>
      </c>
      <c r="J80" s="1"/>
    </row>
    <row r="81" spans="1:10" ht="14.15" customHeight="1" x14ac:dyDescent="0.4">
      <c r="A81" s="44" t="s">
        <v>304</v>
      </c>
      <c r="B81" s="2" t="s">
        <v>481</v>
      </c>
      <c r="C81" s="2" t="s">
        <v>482</v>
      </c>
      <c r="D81" s="43" t="s">
        <v>37</v>
      </c>
      <c r="E81" s="2" t="s">
        <v>37</v>
      </c>
      <c r="F81" s="8">
        <v>1217921.973</v>
      </c>
      <c r="G81" s="8">
        <v>82111.010097010396</v>
      </c>
      <c r="H81" s="3">
        <v>6.7418941374999237</v>
      </c>
      <c r="I81" s="58">
        <v>4.7381763880495892E-2</v>
      </c>
      <c r="J81" s="1"/>
    </row>
    <row r="82" spans="1:10" ht="14.15" customHeight="1" x14ac:dyDescent="0.4">
      <c r="A82" s="44" t="s">
        <v>240</v>
      </c>
      <c r="B82" s="2" t="s">
        <v>483</v>
      </c>
      <c r="C82" s="2" t="s">
        <v>484</v>
      </c>
      <c r="D82" s="43" t="s">
        <v>10</v>
      </c>
      <c r="E82" s="2" t="s">
        <v>10</v>
      </c>
      <c r="F82" s="8">
        <v>188278.64499999999</v>
      </c>
      <c r="G82" s="8">
        <v>51474.304405385752</v>
      </c>
      <c r="H82" s="3">
        <v>27.339427902397411</v>
      </c>
      <c r="I82" s="58">
        <v>2.9703000052821869E-2</v>
      </c>
      <c r="J82" s="1"/>
    </row>
    <row r="83" spans="1:10" ht="14.15" customHeight="1" x14ac:dyDescent="0.4">
      <c r="A83" s="44" t="s">
        <v>258</v>
      </c>
      <c r="B83" s="2" t="s">
        <v>485</v>
      </c>
      <c r="C83" s="2" t="s">
        <v>486</v>
      </c>
      <c r="D83" s="43" t="s">
        <v>7</v>
      </c>
      <c r="E83" s="2" t="s">
        <v>7</v>
      </c>
      <c r="F83" s="8">
        <v>8374727.8660000004</v>
      </c>
      <c r="G83" s="8">
        <v>568729.45866612671</v>
      </c>
      <c r="H83" s="3">
        <v>6.7910201712353384</v>
      </c>
      <c r="I83" s="58">
        <v>0.3281826017066839</v>
      </c>
      <c r="J83" s="1"/>
    </row>
    <row r="84" spans="1:10" ht="14.15" customHeight="1" x14ac:dyDescent="0.4">
      <c r="A84" s="44" t="s">
        <v>216</v>
      </c>
      <c r="B84" s="2" t="s">
        <v>487</v>
      </c>
      <c r="C84" s="2" t="s">
        <v>488</v>
      </c>
      <c r="D84" s="43" t="s">
        <v>12</v>
      </c>
      <c r="E84" s="2" t="s">
        <v>12</v>
      </c>
      <c r="F84" s="8">
        <v>13663.539000000001</v>
      </c>
      <c r="G84" s="8">
        <v>8541.3978097532254</v>
      </c>
      <c r="H84" s="3">
        <v>62.512338931760112</v>
      </c>
      <c r="I84" s="58">
        <v>4.9287725696343272E-3</v>
      </c>
      <c r="J84" s="1"/>
    </row>
    <row r="85" spans="1:10" ht="14.15" customHeight="1" x14ac:dyDescent="0.4">
      <c r="A85" s="44" t="s">
        <v>212</v>
      </c>
      <c r="B85" s="2" t="s">
        <v>489</v>
      </c>
      <c r="C85" s="2" t="s">
        <v>490</v>
      </c>
      <c r="D85" s="43" t="s">
        <v>29</v>
      </c>
      <c r="E85" s="2" t="s">
        <v>29</v>
      </c>
      <c r="F85" s="8">
        <v>3738012.8229999999</v>
      </c>
      <c r="G85" s="8">
        <v>283.39025859126951</v>
      </c>
      <c r="H85" s="3">
        <v>7.5813078234394683E-3</v>
      </c>
      <c r="I85" s="58">
        <v>1.6352898719355899E-4</v>
      </c>
      <c r="J85" s="1"/>
    </row>
    <row r="86" spans="1:10" ht="14.15" customHeight="1" x14ac:dyDescent="0.4">
      <c r="A86" s="44" t="s">
        <v>272</v>
      </c>
      <c r="B86" s="2" t="s">
        <v>491</v>
      </c>
      <c r="C86" s="2" t="s">
        <v>492</v>
      </c>
      <c r="D86" s="43" t="s">
        <v>10</v>
      </c>
      <c r="E86" s="2" t="s">
        <v>10</v>
      </c>
      <c r="F86" s="8">
        <v>520901.462</v>
      </c>
      <c r="G86" s="8">
        <v>65436.878035890622</v>
      </c>
      <c r="H86" s="3">
        <v>12.562237353806969</v>
      </c>
      <c r="I86" s="58">
        <v>3.7760036084201878E-2</v>
      </c>
      <c r="J86" s="1"/>
    </row>
    <row r="87" spans="1:10" ht="14.15" customHeight="1" x14ac:dyDescent="0.4">
      <c r="A87" s="44" t="s">
        <v>272</v>
      </c>
      <c r="B87" s="2" t="s">
        <v>493</v>
      </c>
      <c r="C87" s="2" t="s">
        <v>494</v>
      </c>
      <c r="D87" s="43" t="s">
        <v>10</v>
      </c>
      <c r="E87" s="2" t="s">
        <v>10</v>
      </c>
      <c r="F87" s="8">
        <v>327828.73200000002</v>
      </c>
      <c r="G87" s="8">
        <v>55185.467556910968</v>
      </c>
      <c r="H87" s="3">
        <v>16.83362749208662</v>
      </c>
      <c r="I87" s="58">
        <v>3.1844508919413768E-2</v>
      </c>
      <c r="J87" s="1"/>
    </row>
    <row r="88" spans="1:10" ht="14.15" customHeight="1" x14ac:dyDescent="0.4">
      <c r="A88" s="44" t="s">
        <v>159</v>
      </c>
      <c r="B88" s="2" t="s">
        <v>495</v>
      </c>
      <c r="C88" s="2" t="s">
        <v>496</v>
      </c>
      <c r="D88" s="43" t="s">
        <v>29</v>
      </c>
      <c r="E88" s="2" t="s">
        <v>29</v>
      </c>
      <c r="F88" s="8">
        <v>631985.304</v>
      </c>
      <c r="G88" s="8">
        <v>108057.31604230709</v>
      </c>
      <c r="H88" s="3">
        <v>17.098074173305001</v>
      </c>
      <c r="I88" s="58">
        <v>6.2353955069213422E-2</v>
      </c>
      <c r="J88" s="1"/>
    </row>
    <row r="89" spans="1:10" ht="14.15" customHeight="1" x14ac:dyDescent="0.4">
      <c r="A89" s="44" t="s">
        <v>145</v>
      </c>
      <c r="B89" s="2" t="s">
        <v>497</v>
      </c>
      <c r="C89" s="2" t="s">
        <v>498</v>
      </c>
      <c r="D89" s="43" t="s">
        <v>29</v>
      </c>
      <c r="E89" s="2" t="s">
        <v>29</v>
      </c>
      <c r="F89" s="8">
        <v>1026213.878</v>
      </c>
      <c r="G89" s="8">
        <v>131315.87102354609</v>
      </c>
      <c r="H89" s="3">
        <v>12.79615037748945</v>
      </c>
      <c r="I89" s="58">
        <v>7.5775192477212663E-2</v>
      </c>
      <c r="J89" s="1"/>
    </row>
    <row r="90" spans="1:10" ht="14.15" customHeight="1" x14ac:dyDescent="0.4">
      <c r="A90" s="44" t="s">
        <v>151</v>
      </c>
      <c r="B90" s="2" t="s">
        <v>499</v>
      </c>
      <c r="C90" s="2" t="s">
        <v>500</v>
      </c>
      <c r="D90" s="43" t="s">
        <v>29</v>
      </c>
      <c r="E90" s="2" t="s">
        <v>29</v>
      </c>
      <c r="F90" s="8">
        <v>284779.53700000001</v>
      </c>
      <c r="G90" s="8">
        <v>105846.48379202071</v>
      </c>
      <c r="H90" s="3">
        <v>37.167868487692893</v>
      </c>
      <c r="I90" s="58">
        <v>6.1078204940957878E-2</v>
      </c>
      <c r="J90" s="1"/>
    </row>
    <row r="91" spans="1:10" ht="14.15" customHeight="1" x14ac:dyDescent="0.4">
      <c r="A91" s="44" t="s">
        <v>300</v>
      </c>
      <c r="B91" s="2" t="s">
        <v>501</v>
      </c>
      <c r="C91" s="2" t="s">
        <v>502</v>
      </c>
      <c r="D91" s="43" t="s">
        <v>21</v>
      </c>
      <c r="E91" s="2" t="s">
        <v>21</v>
      </c>
      <c r="F91" s="8">
        <v>261652.46799999999</v>
      </c>
      <c r="G91" s="8">
        <v>204361.16993417521</v>
      </c>
      <c r="H91" s="3">
        <v>78.104048280628206</v>
      </c>
      <c r="I91" s="58">
        <v>0.11792563127311401</v>
      </c>
      <c r="J91" s="1"/>
    </row>
    <row r="92" spans="1:10" ht="14.15" customHeight="1" x14ac:dyDescent="0.4">
      <c r="A92" s="44" t="s">
        <v>216</v>
      </c>
      <c r="B92" s="2" t="s">
        <v>503</v>
      </c>
      <c r="C92" s="2" t="s">
        <v>504</v>
      </c>
      <c r="D92" s="43" t="s">
        <v>12</v>
      </c>
      <c r="E92" s="2" t="s">
        <v>12</v>
      </c>
      <c r="F92" s="8">
        <v>1462.8389999999999</v>
      </c>
      <c r="G92" s="8">
        <v>121.3351604777264</v>
      </c>
      <c r="H92" s="3">
        <v>8.2944986070050355</v>
      </c>
      <c r="I92" s="58">
        <v>7.0015871408297638E-5</v>
      </c>
      <c r="J92" s="1"/>
    </row>
    <row r="93" spans="1:10" ht="14.15" customHeight="1" x14ac:dyDescent="0.4">
      <c r="A93" s="44" t="s">
        <v>151</v>
      </c>
      <c r="B93" s="2" t="s">
        <v>505</v>
      </c>
      <c r="C93" s="2" t="s">
        <v>506</v>
      </c>
      <c r="D93" s="43" t="s">
        <v>29</v>
      </c>
      <c r="E93" s="2" t="s">
        <v>29</v>
      </c>
      <c r="F93" s="8">
        <v>2312125.5550000002</v>
      </c>
      <c r="G93" s="8">
        <v>1080715.8526313519</v>
      </c>
      <c r="H93" s="3">
        <v>46.741226932693607</v>
      </c>
      <c r="I93" s="58">
        <v>0.62362189054536898</v>
      </c>
      <c r="J93" s="1"/>
    </row>
    <row r="94" spans="1:10" ht="14.15" customHeight="1" x14ac:dyDescent="0.4">
      <c r="A94" s="44" t="s">
        <v>240</v>
      </c>
      <c r="B94" s="2" t="s">
        <v>507</v>
      </c>
      <c r="C94" s="2" t="s">
        <v>508</v>
      </c>
      <c r="D94" s="43" t="s">
        <v>10</v>
      </c>
      <c r="E94" s="2" t="s">
        <v>10</v>
      </c>
      <c r="F94" s="8">
        <v>308114.66800000001</v>
      </c>
      <c r="G94" s="8">
        <v>124841.11769026839</v>
      </c>
      <c r="H94" s="3">
        <v>40.517745714809138</v>
      </c>
      <c r="I94" s="58">
        <v>7.2038967173695317E-2</v>
      </c>
      <c r="J94" s="1"/>
    </row>
    <row r="95" spans="1:10" ht="14.15" customHeight="1" x14ac:dyDescent="0.4">
      <c r="A95" s="44" t="s">
        <v>240</v>
      </c>
      <c r="B95" s="2" t="s">
        <v>509</v>
      </c>
      <c r="C95" s="2" t="s">
        <v>510</v>
      </c>
      <c r="D95" s="43" t="s">
        <v>10</v>
      </c>
      <c r="E95" s="2" t="s">
        <v>10</v>
      </c>
      <c r="F95" s="8">
        <v>123314.932</v>
      </c>
      <c r="G95" s="8">
        <v>58256.021038999628</v>
      </c>
      <c r="H95" s="3">
        <v>47.241660108931192</v>
      </c>
      <c r="I95" s="58">
        <v>3.3616357054016818E-2</v>
      </c>
      <c r="J95" s="1"/>
    </row>
    <row r="96" spans="1:10" ht="14.15" customHeight="1" x14ac:dyDescent="0.4">
      <c r="A96" s="44" t="s">
        <v>198</v>
      </c>
      <c r="B96" s="2" t="s">
        <v>511</v>
      </c>
      <c r="C96" s="2" t="s">
        <v>512</v>
      </c>
      <c r="D96" s="43" t="s">
        <v>35</v>
      </c>
      <c r="E96" s="2" t="s">
        <v>35</v>
      </c>
      <c r="F96" s="8">
        <v>1448061.9750000001</v>
      </c>
      <c r="G96" s="8">
        <v>12266.933389090511</v>
      </c>
      <c r="H96" s="3">
        <v>0.84712765067189266</v>
      </c>
      <c r="I96" s="58">
        <v>7.0785749766439669E-3</v>
      </c>
      <c r="J96" s="1"/>
    </row>
    <row r="97" spans="1:10" ht="14.15" customHeight="1" x14ac:dyDescent="0.4">
      <c r="A97" s="44" t="s">
        <v>163</v>
      </c>
      <c r="B97" s="2" t="s">
        <v>513</v>
      </c>
      <c r="C97" s="2" t="s">
        <v>514</v>
      </c>
      <c r="D97" s="43" t="s">
        <v>32</v>
      </c>
      <c r="E97" s="2" t="s">
        <v>35</v>
      </c>
      <c r="F97" s="8">
        <v>1736593.868</v>
      </c>
      <c r="G97" s="8">
        <v>807846.33216797153</v>
      </c>
      <c r="H97" s="3">
        <v>46.519013285377532</v>
      </c>
      <c r="I97" s="58">
        <v>0.46616384474243761</v>
      </c>
      <c r="J97" s="1"/>
    </row>
    <row r="98" spans="1:10" ht="14.15" customHeight="1" x14ac:dyDescent="0.4">
      <c r="A98" s="44" t="s">
        <v>163</v>
      </c>
      <c r="B98" s="2" t="s">
        <v>516</v>
      </c>
      <c r="C98" s="2" t="s">
        <v>517</v>
      </c>
      <c r="D98" s="43" t="s">
        <v>32</v>
      </c>
      <c r="E98" s="2" t="s">
        <v>29</v>
      </c>
      <c r="F98" s="8">
        <v>4136121.3110000002</v>
      </c>
      <c r="G98" s="8">
        <v>221935.98887052559</v>
      </c>
      <c r="H98" s="3">
        <v>5.3657997960622597</v>
      </c>
      <c r="I98" s="58">
        <v>0.12806709610347949</v>
      </c>
      <c r="J98" s="1"/>
    </row>
    <row r="99" spans="1:10" ht="14.15" customHeight="1" x14ac:dyDescent="0.4">
      <c r="A99" s="44" t="s">
        <v>169</v>
      </c>
      <c r="B99" s="2" t="s">
        <v>168</v>
      </c>
      <c r="C99" s="2" t="s">
        <v>518</v>
      </c>
      <c r="D99" s="43" t="s">
        <v>12</v>
      </c>
      <c r="E99" s="2" t="s">
        <v>170</v>
      </c>
      <c r="F99" s="8">
        <v>17167.102999999999</v>
      </c>
      <c r="G99" s="8">
        <v>0</v>
      </c>
      <c r="H99" s="3">
        <v>0</v>
      </c>
      <c r="I99" s="58">
        <v>0</v>
      </c>
      <c r="J99" s="1"/>
    </row>
    <row r="100" spans="1:10" ht="14.15" customHeight="1" x14ac:dyDescent="0.4">
      <c r="A100" s="44" t="s">
        <v>163</v>
      </c>
      <c r="B100" s="2" t="s">
        <v>519</v>
      </c>
      <c r="C100" s="2" t="s">
        <v>520</v>
      </c>
      <c r="D100" s="43" t="s">
        <v>10</v>
      </c>
      <c r="E100" s="2" t="s">
        <v>10</v>
      </c>
      <c r="F100" s="8">
        <v>139223.77600000001</v>
      </c>
      <c r="G100" s="8">
        <v>9784.3715531363632</v>
      </c>
      <c r="H100" s="3">
        <v>7.0278021716178429</v>
      </c>
      <c r="I100" s="58">
        <v>5.6460245964825547E-3</v>
      </c>
      <c r="J100" s="1"/>
    </row>
    <row r="101" spans="1:10" ht="14.15" customHeight="1" x14ac:dyDescent="0.4">
      <c r="A101" s="44" t="s">
        <v>270</v>
      </c>
      <c r="B101" s="2" t="s">
        <v>521</v>
      </c>
      <c r="C101" s="2" t="s">
        <v>522</v>
      </c>
      <c r="D101" s="43" t="s">
        <v>10</v>
      </c>
      <c r="E101" s="2" t="s">
        <v>10</v>
      </c>
      <c r="F101" s="8">
        <v>466523.462</v>
      </c>
      <c r="G101" s="8">
        <v>33671.438772371519</v>
      </c>
      <c r="H101" s="3">
        <v>7.2175231290664472</v>
      </c>
      <c r="I101" s="58">
        <v>1.9429941971779129E-2</v>
      </c>
      <c r="J101" s="1"/>
    </row>
    <row r="102" spans="1:10" ht="14.15" customHeight="1" x14ac:dyDescent="0.4">
      <c r="A102" s="44" t="s">
        <v>176</v>
      </c>
      <c r="B102" s="2" t="s">
        <v>523</v>
      </c>
      <c r="C102" s="2" t="s">
        <v>524</v>
      </c>
      <c r="D102" s="43" t="s">
        <v>1213</v>
      </c>
      <c r="E102" s="2" t="s">
        <v>423</v>
      </c>
      <c r="F102" s="8">
        <v>1354799.0919999999</v>
      </c>
      <c r="G102" s="8">
        <v>75263.451910696487</v>
      </c>
      <c r="H102" s="3">
        <v>5.5553219923988912</v>
      </c>
      <c r="I102" s="58">
        <v>4.3430413327646043E-2</v>
      </c>
      <c r="J102" s="1"/>
    </row>
    <row r="103" spans="1:10" ht="14.15" customHeight="1" x14ac:dyDescent="0.4">
      <c r="A103" s="44" t="s">
        <v>284</v>
      </c>
      <c r="B103" s="2" t="s">
        <v>525</v>
      </c>
      <c r="C103" s="2" t="s">
        <v>526</v>
      </c>
      <c r="D103" s="43" t="s">
        <v>10</v>
      </c>
      <c r="E103" s="2" t="s">
        <v>10</v>
      </c>
      <c r="F103" s="8">
        <v>275693.25199999998</v>
      </c>
      <c r="G103" s="8">
        <v>10042.643356529859</v>
      </c>
      <c r="H103" s="3">
        <v>3.6426874011881369</v>
      </c>
      <c r="I103" s="58">
        <v>5.7950590997839111E-3</v>
      </c>
      <c r="J103" s="1"/>
    </row>
    <row r="104" spans="1:10" ht="14.15" customHeight="1" x14ac:dyDescent="0.4">
      <c r="A104" s="44" t="s">
        <v>147</v>
      </c>
      <c r="B104" s="2" t="s">
        <v>527</v>
      </c>
      <c r="C104" s="2" t="s">
        <v>528</v>
      </c>
      <c r="D104" s="43" t="s">
        <v>35</v>
      </c>
      <c r="E104" s="2" t="s">
        <v>35</v>
      </c>
      <c r="F104" s="8">
        <v>706696.33700000006</v>
      </c>
      <c r="G104" s="8">
        <v>613.78300638603446</v>
      </c>
      <c r="H104" s="3">
        <v>8.6852439194974124E-2</v>
      </c>
      <c r="I104" s="58">
        <v>3.5418053496217861E-4</v>
      </c>
      <c r="J104" s="1"/>
    </row>
    <row r="105" spans="1:10" ht="14.15" customHeight="1" x14ac:dyDescent="0.4">
      <c r="A105" s="44" t="s">
        <v>234</v>
      </c>
      <c r="B105" s="2" t="s">
        <v>529</v>
      </c>
      <c r="C105" s="2" t="s">
        <v>530</v>
      </c>
      <c r="D105" s="43" t="s">
        <v>1213</v>
      </c>
      <c r="E105" s="2" t="s">
        <v>423</v>
      </c>
      <c r="F105" s="8">
        <v>1703985.02</v>
      </c>
      <c r="G105" s="8">
        <v>263677.03209884343</v>
      </c>
      <c r="H105" s="3">
        <v>15.47414026555488</v>
      </c>
      <c r="I105" s="58">
        <v>0.15215356455677331</v>
      </c>
      <c r="J105" s="1"/>
    </row>
    <row r="106" spans="1:10" ht="14.15" customHeight="1" x14ac:dyDescent="0.4">
      <c r="A106" s="44" t="s">
        <v>308</v>
      </c>
      <c r="B106" s="2" t="s">
        <v>531</v>
      </c>
      <c r="C106" s="2" t="s">
        <v>532</v>
      </c>
      <c r="D106" s="43" t="s">
        <v>29</v>
      </c>
      <c r="E106" s="2" t="s">
        <v>29</v>
      </c>
      <c r="F106" s="8">
        <v>357932.359</v>
      </c>
      <c r="G106" s="8">
        <v>252691.22550393539</v>
      </c>
      <c r="H106" s="3">
        <v>70.597479984740744</v>
      </c>
      <c r="I106" s="58">
        <v>0.14581425764163791</v>
      </c>
      <c r="J106" s="1"/>
    </row>
    <row r="107" spans="1:10" ht="14.15" customHeight="1" x14ac:dyDescent="0.4">
      <c r="A107" s="44" t="s">
        <v>240</v>
      </c>
      <c r="B107" s="2" t="s">
        <v>533</v>
      </c>
      <c r="C107" s="2" t="s">
        <v>534</v>
      </c>
      <c r="D107" s="43" t="s">
        <v>10</v>
      </c>
      <c r="E107" s="2" t="s">
        <v>10</v>
      </c>
      <c r="F107" s="8">
        <v>316457.54800000001</v>
      </c>
      <c r="G107" s="8">
        <v>75939.252782939424</v>
      </c>
      <c r="H107" s="3">
        <v>23.996663458613231</v>
      </c>
      <c r="I107" s="58">
        <v>4.3820380974140913E-2</v>
      </c>
      <c r="J107" s="1"/>
    </row>
    <row r="108" spans="1:10" ht="14.15" customHeight="1" x14ac:dyDescent="0.4">
      <c r="A108" s="44" t="s">
        <v>172</v>
      </c>
      <c r="B108" s="2" t="s">
        <v>171</v>
      </c>
      <c r="C108" s="2" t="s">
        <v>535</v>
      </c>
      <c r="D108" s="43" t="s">
        <v>21</v>
      </c>
      <c r="E108" s="2" t="s">
        <v>21</v>
      </c>
      <c r="F108" s="8">
        <v>2092228.9550000001</v>
      </c>
      <c r="G108" s="8">
        <v>219031.40587839659</v>
      </c>
      <c r="H108" s="3">
        <v>10.46880674100969</v>
      </c>
      <c r="I108" s="58">
        <v>0.12639102044271541</v>
      </c>
      <c r="J108" s="1"/>
    </row>
    <row r="109" spans="1:10" ht="14.15" customHeight="1" x14ac:dyDescent="0.4">
      <c r="A109" s="44" t="s">
        <v>282</v>
      </c>
      <c r="B109" s="2" t="s">
        <v>536</v>
      </c>
      <c r="C109" s="2" t="s">
        <v>537</v>
      </c>
      <c r="D109" s="43" t="s">
        <v>7</v>
      </c>
      <c r="E109" s="2" t="s">
        <v>7</v>
      </c>
      <c r="F109" s="8">
        <v>383464.83</v>
      </c>
      <c r="G109" s="8">
        <v>29173.075228287911</v>
      </c>
      <c r="H109" s="3">
        <v>7.6077577253402628</v>
      </c>
      <c r="I109" s="58">
        <v>1.6834182900704681E-2</v>
      </c>
      <c r="J109" s="1"/>
    </row>
    <row r="110" spans="1:10" ht="14.15" customHeight="1" x14ac:dyDescent="0.4">
      <c r="A110" s="44" t="s">
        <v>238</v>
      </c>
      <c r="B110" s="2" t="s">
        <v>538</v>
      </c>
      <c r="C110" s="2" t="s">
        <v>539</v>
      </c>
      <c r="D110" s="43" t="s">
        <v>10</v>
      </c>
      <c r="E110" s="2" t="s">
        <v>10</v>
      </c>
      <c r="F110" s="8">
        <v>3662438.0090000001</v>
      </c>
      <c r="G110" s="8">
        <v>285948.3243468256</v>
      </c>
      <c r="H110" s="3">
        <v>7.8075949311399144</v>
      </c>
      <c r="I110" s="58">
        <v>0.16500510674777399</v>
      </c>
      <c r="J110" s="1"/>
    </row>
    <row r="111" spans="1:10" ht="14.15" customHeight="1" x14ac:dyDescent="0.4">
      <c r="A111" s="44" t="s">
        <v>178</v>
      </c>
      <c r="B111" s="2" t="s">
        <v>177</v>
      </c>
      <c r="C111" s="2" t="s">
        <v>540</v>
      </c>
      <c r="D111" s="43" t="s">
        <v>21</v>
      </c>
      <c r="E111" s="2" t="s">
        <v>21</v>
      </c>
      <c r="F111" s="8">
        <v>2843199.4350000001</v>
      </c>
      <c r="G111" s="8">
        <v>878565.5159442143</v>
      </c>
      <c r="H111" s="3">
        <v>30.90059406769031</v>
      </c>
      <c r="I111" s="58">
        <v>0.50697200997568115</v>
      </c>
      <c r="J111" s="1"/>
    </row>
    <row r="112" spans="1:10" ht="14.15" customHeight="1" x14ac:dyDescent="0.4">
      <c r="A112" s="44" t="s">
        <v>180</v>
      </c>
      <c r="B112" s="2" t="s">
        <v>541</v>
      </c>
      <c r="C112" s="2" t="s">
        <v>542</v>
      </c>
      <c r="D112" s="43" t="s">
        <v>21</v>
      </c>
      <c r="E112" s="2" t="s">
        <v>21</v>
      </c>
      <c r="F112" s="8">
        <v>1589590.406</v>
      </c>
      <c r="G112" s="8">
        <v>129619.8551235513</v>
      </c>
      <c r="H112" s="3">
        <v>8.1542927432308208</v>
      </c>
      <c r="I112" s="58">
        <v>7.4796514650497609E-2</v>
      </c>
      <c r="J112" s="1"/>
    </row>
    <row r="113" spans="1:10" ht="14.15" customHeight="1" x14ac:dyDescent="0.4">
      <c r="A113" s="44" t="s">
        <v>145</v>
      </c>
      <c r="B113" s="2" t="s">
        <v>543</v>
      </c>
      <c r="C113" s="2" t="s">
        <v>544</v>
      </c>
      <c r="D113" s="43" t="s">
        <v>29</v>
      </c>
      <c r="E113" s="2" t="s">
        <v>29</v>
      </c>
      <c r="F113" s="8">
        <v>982807.04000000004</v>
      </c>
      <c r="G113" s="8">
        <v>16842.0708674706</v>
      </c>
      <c r="H113" s="3">
        <v>1.7136701490732711</v>
      </c>
      <c r="I113" s="58">
        <v>9.7186360776497834E-3</v>
      </c>
      <c r="J113" s="1"/>
    </row>
    <row r="114" spans="1:10" ht="14.15" customHeight="1" x14ac:dyDescent="0.4">
      <c r="A114" s="44" t="s">
        <v>159</v>
      </c>
      <c r="B114" s="2" t="s">
        <v>545</v>
      </c>
      <c r="C114" s="2" t="s">
        <v>546</v>
      </c>
      <c r="D114" s="43" t="s">
        <v>29</v>
      </c>
      <c r="E114" s="2" t="s">
        <v>29</v>
      </c>
      <c r="F114" s="8">
        <v>80963.77</v>
      </c>
      <c r="G114" s="8">
        <v>4584.9521300792094</v>
      </c>
      <c r="H114" s="3">
        <v>5.6629676830503426</v>
      </c>
      <c r="I114" s="58">
        <v>2.645724598615058E-3</v>
      </c>
      <c r="J114" s="1"/>
    </row>
    <row r="115" spans="1:10" ht="14.15" customHeight="1" x14ac:dyDescent="0.4">
      <c r="A115" s="44" t="s">
        <v>248</v>
      </c>
      <c r="B115" s="2" t="s">
        <v>547</v>
      </c>
      <c r="C115" s="2" t="s">
        <v>548</v>
      </c>
      <c r="D115" s="43" t="s">
        <v>10</v>
      </c>
      <c r="E115" s="2" t="s">
        <v>10</v>
      </c>
      <c r="F115" s="8">
        <v>97772.516000000003</v>
      </c>
      <c r="G115" s="8">
        <v>191.18797988628859</v>
      </c>
      <c r="H115" s="3">
        <v>0.19554368416405341</v>
      </c>
      <c r="I115" s="58">
        <v>1.103241052455516E-4</v>
      </c>
      <c r="J115" s="1"/>
    </row>
    <row r="116" spans="1:10" ht="14.15" customHeight="1" x14ac:dyDescent="0.4">
      <c r="A116" s="44" t="s">
        <v>163</v>
      </c>
      <c r="B116" s="2" t="s">
        <v>549</v>
      </c>
      <c r="C116" s="2" t="s">
        <v>550</v>
      </c>
      <c r="D116" s="43" t="s">
        <v>32</v>
      </c>
      <c r="E116" s="2" t="s">
        <v>170</v>
      </c>
      <c r="F116" s="8">
        <v>1456544.132</v>
      </c>
      <c r="G116" s="8">
        <v>0</v>
      </c>
      <c r="H116" s="3">
        <v>0</v>
      </c>
      <c r="I116" s="58">
        <v>0</v>
      </c>
      <c r="J116" s="1"/>
    </row>
    <row r="117" spans="1:10" ht="14.15" customHeight="1" x14ac:dyDescent="0.4">
      <c r="A117" s="44" t="s">
        <v>264</v>
      </c>
      <c r="B117" s="2" t="s">
        <v>551</v>
      </c>
      <c r="C117" s="2" t="s">
        <v>552</v>
      </c>
      <c r="D117" s="43" t="s">
        <v>1219</v>
      </c>
      <c r="E117" s="2" t="s">
        <v>515</v>
      </c>
      <c r="F117" s="8">
        <v>5152029.2220000001</v>
      </c>
      <c r="G117" s="8">
        <v>4220115.3119340958</v>
      </c>
      <c r="H117" s="3">
        <v>81.911711484739243</v>
      </c>
      <c r="I117" s="58">
        <v>2.4351972655346361</v>
      </c>
      <c r="J117" s="1"/>
    </row>
    <row r="118" spans="1:10" ht="14.15" customHeight="1" x14ac:dyDescent="0.4">
      <c r="A118" s="44" t="s">
        <v>212</v>
      </c>
      <c r="B118" s="2" t="s">
        <v>554</v>
      </c>
      <c r="C118" s="2" t="s">
        <v>555</v>
      </c>
      <c r="D118" s="43" t="s">
        <v>29</v>
      </c>
      <c r="E118" s="2" t="s">
        <v>29</v>
      </c>
      <c r="F118" s="8">
        <v>2449963.8280000002</v>
      </c>
      <c r="G118" s="8">
        <v>4752.9114106583002</v>
      </c>
      <c r="H118" s="3">
        <v>0.19399924832924101</v>
      </c>
      <c r="I118" s="58">
        <v>2.7426446945258772E-3</v>
      </c>
      <c r="J118" s="1"/>
    </row>
    <row r="119" spans="1:10" ht="14.15" customHeight="1" x14ac:dyDescent="0.4">
      <c r="A119" s="44" t="s">
        <v>212</v>
      </c>
      <c r="B119" s="2" t="s">
        <v>556</v>
      </c>
      <c r="C119" s="2" t="s">
        <v>557</v>
      </c>
      <c r="D119" s="43" t="s">
        <v>1211</v>
      </c>
      <c r="E119" s="2" t="s">
        <v>29</v>
      </c>
      <c r="F119" s="8">
        <v>1831822.7649999999</v>
      </c>
      <c r="G119" s="8">
        <v>39746.457705193898</v>
      </c>
      <c r="H119" s="3">
        <v>2.169776381460895</v>
      </c>
      <c r="I119" s="58">
        <v>2.2935502460006672E-2</v>
      </c>
      <c r="J119" s="1"/>
    </row>
    <row r="120" spans="1:10" ht="14.15" customHeight="1" x14ac:dyDescent="0.4">
      <c r="A120" s="44" t="s">
        <v>145</v>
      </c>
      <c r="B120" s="2" t="s">
        <v>558</v>
      </c>
      <c r="C120" s="2" t="s">
        <v>559</v>
      </c>
      <c r="D120" s="43" t="s">
        <v>29</v>
      </c>
      <c r="E120" s="2" t="s">
        <v>170</v>
      </c>
      <c r="F120" s="8">
        <v>162442.179</v>
      </c>
      <c r="G120" s="8">
        <v>0</v>
      </c>
      <c r="H120" s="3">
        <v>0</v>
      </c>
      <c r="I120" s="58">
        <v>0</v>
      </c>
      <c r="J120" s="1"/>
    </row>
    <row r="121" spans="1:10" ht="14.15" customHeight="1" x14ac:dyDescent="0.4">
      <c r="A121" s="44" t="s">
        <v>149</v>
      </c>
      <c r="B121" s="2" t="s">
        <v>560</v>
      </c>
      <c r="C121" s="2" t="s">
        <v>561</v>
      </c>
      <c r="D121" s="43" t="s">
        <v>21</v>
      </c>
      <c r="E121" s="2" t="s">
        <v>21</v>
      </c>
      <c r="F121" s="8">
        <v>526566.69099999999</v>
      </c>
      <c r="G121" s="8">
        <v>18778.913841418369</v>
      </c>
      <c r="H121" s="3">
        <v>3.5662935317377249</v>
      </c>
      <c r="I121" s="58">
        <v>1.083628201035439E-2</v>
      </c>
      <c r="J121" s="1"/>
    </row>
    <row r="122" spans="1:10" ht="14.15" customHeight="1" x14ac:dyDescent="0.4">
      <c r="A122" s="44" t="s">
        <v>304</v>
      </c>
      <c r="B122" s="2" t="s">
        <v>562</v>
      </c>
      <c r="C122" s="2" t="s">
        <v>563</v>
      </c>
      <c r="D122" s="43" t="s">
        <v>37</v>
      </c>
      <c r="E122" s="2" t="s">
        <v>37</v>
      </c>
      <c r="F122" s="8">
        <v>688317.701</v>
      </c>
      <c r="G122" s="8">
        <v>10129.550562759679</v>
      </c>
      <c r="H122" s="3">
        <v>1.4716388301569601</v>
      </c>
      <c r="I122" s="58">
        <v>5.8452084855998912E-3</v>
      </c>
      <c r="J122" s="1"/>
    </row>
    <row r="123" spans="1:10" ht="14.15" customHeight="1" x14ac:dyDescent="0.4">
      <c r="A123" s="44" t="s">
        <v>202</v>
      </c>
      <c r="B123" s="2" t="s">
        <v>564</v>
      </c>
      <c r="C123" s="2" t="s">
        <v>565</v>
      </c>
      <c r="D123" s="43" t="s">
        <v>7</v>
      </c>
      <c r="E123" s="2" t="s">
        <v>7</v>
      </c>
      <c r="F123" s="8">
        <v>2914113.6260000002</v>
      </c>
      <c r="G123" s="8">
        <v>2914113.6262100642</v>
      </c>
      <c r="H123" s="3">
        <v>100.0000000072085</v>
      </c>
      <c r="I123" s="58">
        <v>1.6815752673714599</v>
      </c>
      <c r="J123" s="1"/>
    </row>
    <row r="124" spans="1:10" ht="14.15" customHeight="1" x14ac:dyDescent="0.4">
      <c r="A124" s="44" t="s">
        <v>268</v>
      </c>
      <c r="B124" s="2" t="s">
        <v>566</v>
      </c>
      <c r="C124" s="2" t="s">
        <v>567</v>
      </c>
      <c r="D124" s="43" t="s">
        <v>1214</v>
      </c>
      <c r="E124" s="2" t="s">
        <v>568</v>
      </c>
      <c r="F124" s="8">
        <v>623515.53800000006</v>
      </c>
      <c r="G124" s="8">
        <v>163810.11346140099</v>
      </c>
      <c r="H124" s="3">
        <v>26.27201785329061</v>
      </c>
      <c r="I124" s="58">
        <v>9.4525838959907529E-2</v>
      </c>
      <c r="J124" s="1"/>
    </row>
    <row r="125" spans="1:10" ht="14.15" customHeight="1" x14ac:dyDescent="0.4">
      <c r="A125" s="44" t="s">
        <v>145</v>
      </c>
      <c r="B125" s="2" t="s">
        <v>569</v>
      </c>
      <c r="C125" s="2" t="s">
        <v>570</v>
      </c>
      <c r="D125" s="43" t="s">
        <v>29</v>
      </c>
      <c r="E125" s="2" t="s">
        <v>29</v>
      </c>
      <c r="F125" s="8">
        <v>1698062.98</v>
      </c>
      <c r="G125" s="8">
        <v>6528.2814142454727</v>
      </c>
      <c r="H125" s="3">
        <v>0.38445461040823542</v>
      </c>
      <c r="I125" s="58">
        <v>3.7671134254682729E-3</v>
      </c>
      <c r="J125" s="1"/>
    </row>
    <row r="126" spans="1:10" ht="14.15" customHeight="1" x14ac:dyDescent="0.4">
      <c r="A126" s="44" t="s">
        <v>167</v>
      </c>
      <c r="B126" s="2" t="s">
        <v>571</v>
      </c>
      <c r="C126" s="2" t="s">
        <v>572</v>
      </c>
      <c r="D126" s="43" t="s">
        <v>7</v>
      </c>
      <c r="E126" s="2" t="s">
        <v>7</v>
      </c>
      <c r="F126" s="8">
        <v>5058245.6380000003</v>
      </c>
      <c r="G126" s="8">
        <v>1689293.4901236191</v>
      </c>
      <c r="H126" s="3">
        <v>33.396825915942578</v>
      </c>
      <c r="I126" s="58">
        <v>0.97479869239619066</v>
      </c>
      <c r="J126" s="1"/>
    </row>
    <row r="127" spans="1:10" ht="14.15" customHeight="1" x14ac:dyDescent="0.4">
      <c r="A127" s="44" t="s">
        <v>228</v>
      </c>
      <c r="B127" s="2" t="s">
        <v>573</v>
      </c>
      <c r="C127" s="2" t="s">
        <v>574</v>
      </c>
      <c r="D127" s="43" t="s">
        <v>7</v>
      </c>
      <c r="E127" s="2" t="s">
        <v>7</v>
      </c>
      <c r="F127" s="8">
        <v>3415839.4470000002</v>
      </c>
      <c r="G127" s="8">
        <v>1748355.2693409361</v>
      </c>
      <c r="H127" s="3">
        <v>51.183765995689548</v>
      </c>
      <c r="I127" s="58">
        <v>1.0088800083358029</v>
      </c>
      <c r="J127" s="1"/>
    </row>
    <row r="128" spans="1:10" ht="14.15" customHeight="1" x14ac:dyDescent="0.4">
      <c r="A128" s="44" t="s">
        <v>234</v>
      </c>
      <c r="B128" s="2" t="s">
        <v>575</v>
      </c>
      <c r="C128" s="2" t="s">
        <v>576</v>
      </c>
      <c r="D128" s="43" t="s">
        <v>29</v>
      </c>
      <c r="E128" s="2" t="s">
        <v>29</v>
      </c>
      <c r="F128" s="8">
        <v>1563268.9850000001</v>
      </c>
      <c r="G128" s="8">
        <v>27704.374305529469</v>
      </c>
      <c r="H128" s="3">
        <v>1.772207762794543</v>
      </c>
      <c r="I128" s="58">
        <v>1.598667608948667E-2</v>
      </c>
      <c r="J128" s="1"/>
    </row>
    <row r="129" spans="1:10" ht="14.15" customHeight="1" x14ac:dyDescent="0.4">
      <c r="A129" s="44" t="s">
        <v>236</v>
      </c>
      <c r="B129" s="2" t="s">
        <v>577</v>
      </c>
      <c r="C129" s="2" t="s">
        <v>578</v>
      </c>
      <c r="D129" s="43" t="s">
        <v>7</v>
      </c>
      <c r="E129" s="2" t="s">
        <v>7</v>
      </c>
      <c r="F129" s="8">
        <v>21135040.283</v>
      </c>
      <c r="G129" s="8">
        <v>1517792.3074224009</v>
      </c>
      <c r="H129" s="3">
        <v>7.1814024818454669</v>
      </c>
      <c r="I129" s="58">
        <v>0.87583475888259288</v>
      </c>
      <c r="J129" s="1"/>
    </row>
    <row r="130" spans="1:10" ht="14.15" customHeight="1" x14ac:dyDescent="0.4">
      <c r="A130" s="44" t="s">
        <v>248</v>
      </c>
      <c r="B130" s="2" t="s">
        <v>579</v>
      </c>
      <c r="C130" s="2" t="s">
        <v>580</v>
      </c>
      <c r="D130" s="43" t="s">
        <v>10</v>
      </c>
      <c r="E130" s="2" t="s">
        <v>10</v>
      </c>
      <c r="F130" s="8">
        <v>319095.57900000003</v>
      </c>
      <c r="G130" s="8">
        <v>21519.68445880388</v>
      </c>
      <c r="H130" s="3">
        <v>6.74396195843374</v>
      </c>
      <c r="I130" s="58">
        <v>1.241783052729669E-2</v>
      </c>
      <c r="J130" s="1"/>
    </row>
    <row r="131" spans="1:10" ht="14.15" customHeight="1" x14ac:dyDescent="0.4">
      <c r="A131" s="44" t="s">
        <v>248</v>
      </c>
      <c r="B131" s="2" t="s">
        <v>581</v>
      </c>
      <c r="C131" s="2" t="s">
        <v>582</v>
      </c>
      <c r="D131" s="43" t="s">
        <v>10</v>
      </c>
      <c r="E131" s="2" t="s">
        <v>10</v>
      </c>
      <c r="F131" s="8">
        <v>35708.962</v>
      </c>
      <c r="G131" s="8">
        <v>3856.4870932123922</v>
      </c>
      <c r="H131" s="3">
        <v>10.799773718464269</v>
      </c>
      <c r="I131" s="58">
        <v>2.2253673489448711E-3</v>
      </c>
      <c r="J131" s="1"/>
    </row>
    <row r="132" spans="1:10" ht="14.15" customHeight="1" x14ac:dyDescent="0.4">
      <c r="A132" s="44" t="s">
        <v>310</v>
      </c>
      <c r="B132" s="2" t="s">
        <v>583</v>
      </c>
      <c r="C132" s="2" t="s">
        <v>584</v>
      </c>
      <c r="D132" s="43" t="s">
        <v>7</v>
      </c>
      <c r="E132" s="2" t="s">
        <v>7</v>
      </c>
      <c r="F132" s="8">
        <v>1588633.841</v>
      </c>
      <c r="G132" s="8">
        <v>777065.13605776138</v>
      </c>
      <c r="H132" s="3">
        <v>48.914049040313841</v>
      </c>
      <c r="I132" s="58">
        <v>0.44840170341291191</v>
      </c>
      <c r="J132" s="1"/>
    </row>
    <row r="133" spans="1:10" ht="14.15" customHeight="1" x14ac:dyDescent="0.4">
      <c r="A133" s="44" t="s">
        <v>204</v>
      </c>
      <c r="B133" s="2" t="s">
        <v>585</v>
      </c>
      <c r="C133" s="2" t="s">
        <v>586</v>
      </c>
      <c r="D133" s="43" t="s">
        <v>21</v>
      </c>
      <c r="E133" s="2" t="s">
        <v>170</v>
      </c>
      <c r="F133" s="8">
        <v>375667.60600000003</v>
      </c>
      <c r="G133" s="8">
        <v>0</v>
      </c>
      <c r="H133" s="3">
        <v>0</v>
      </c>
      <c r="I133" s="58">
        <v>0</v>
      </c>
      <c r="J133" s="1"/>
    </row>
    <row r="134" spans="1:10" ht="14.15" customHeight="1" x14ac:dyDescent="0.4">
      <c r="A134" s="44" t="s">
        <v>240</v>
      </c>
      <c r="B134" s="2" t="s">
        <v>587</v>
      </c>
      <c r="C134" s="2" t="s">
        <v>588</v>
      </c>
      <c r="D134" s="43" t="s">
        <v>10</v>
      </c>
      <c r="E134" s="2" t="s">
        <v>10</v>
      </c>
      <c r="F134" s="8">
        <v>113182.579</v>
      </c>
      <c r="G134" s="8">
        <v>3894.717819480969</v>
      </c>
      <c r="H134" s="3">
        <v>3.441093014394883</v>
      </c>
      <c r="I134" s="58">
        <v>2.2474282058615922E-3</v>
      </c>
      <c r="J134" s="1"/>
    </row>
    <row r="135" spans="1:10" ht="14.15" customHeight="1" x14ac:dyDescent="0.4">
      <c r="A135" s="44" t="s">
        <v>284</v>
      </c>
      <c r="B135" s="2" t="s">
        <v>589</v>
      </c>
      <c r="C135" s="2" t="s">
        <v>590</v>
      </c>
      <c r="D135" s="43" t="s">
        <v>10</v>
      </c>
      <c r="E135" s="2" t="s">
        <v>10</v>
      </c>
      <c r="F135" s="8">
        <v>179126.11499999999</v>
      </c>
      <c r="G135" s="8">
        <v>140175.37451053361</v>
      </c>
      <c r="H135" s="3">
        <v>78.255130197254402</v>
      </c>
      <c r="I135" s="58">
        <v>8.0887526399580967E-2</v>
      </c>
      <c r="J135" s="1"/>
    </row>
    <row r="136" spans="1:10" ht="14.15" customHeight="1" x14ac:dyDescent="0.4">
      <c r="A136" s="44" t="s">
        <v>161</v>
      </c>
      <c r="B136" s="2" t="s">
        <v>591</v>
      </c>
      <c r="C136" s="2" t="s">
        <v>592</v>
      </c>
      <c r="D136" s="43" t="s">
        <v>35</v>
      </c>
      <c r="E136" s="2" t="s">
        <v>35</v>
      </c>
      <c r="F136" s="8">
        <v>525998.26399999997</v>
      </c>
      <c r="G136" s="8">
        <v>176257.72612455679</v>
      </c>
      <c r="H136" s="3">
        <v>33.509184000758758</v>
      </c>
      <c r="I136" s="58">
        <v>0.1017086740435913</v>
      </c>
      <c r="J136" s="1"/>
    </row>
    <row r="137" spans="1:10" ht="14.15" customHeight="1" x14ac:dyDescent="0.4">
      <c r="A137" s="44" t="s">
        <v>188</v>
      </c>
      <c r="B137" s="2" t="s">
        <v>593</v>
      </c>
      <c r="C137" s="2" t="s">
        <v>594</v>
      </c>
      <c r="D137" s="43" t="s">
        <v>35</v>
      </c>
      <c r="E137" s="2" t="s">
        <v>35</v>
      </c>
      <c r="F137" s="8">
        <v>1172576.058</v>
      </c>
      <c r="G137" s="8">
        <v>156958.81095112351</v>
      </c>
      <c r="H137" s="3">
        <v>13.38581065852903</v>
      </c>
      <c r="I137" s="58">
        <v>9.0572327762903776E-2</v>
      </c>
      <c r="J137" s="1"/>
    </row>
    <row r="138" spans="1:10" ht="14.15" customHeight="1" x14ac:dyDescent="0.4">
      <c r="A138" s="44" t="s">
        <v>188</v>
      </c>
      <c r="B138" s="2" t="s">
        <v>595</v>
      </c>
      <c r="C138" s="2" t="s">
        <v>596</v>
      </c>
      <c r="D138" s="43" t="s">
        <v>35</v>
      </c>
      <c r="E138" s="2" t="s">
        <v>35</v>
      </c>
      <c r="F138" s="8">
        <v>2319397.5350000001</v>
      </c>
      <c r="G138" s="8">
        <v>506568.0561913522</v>
      </c>
      <c r="H138" s="3">
        <v>21.84050161937213</v>
      </c>
      <c r="I138" s="58">
        <v>0.29231266305825571</v>
      </c>
      <c r="J138" s="1"/>
    </row>
    <row r="139" spans="1:10" ht="14.15" customHeight="1" x14ac:dyDescent="0.4">
      <c r="A139" s="44" t="s">
        <v>190</v>
      </c>
      <c r="B139" s="2" t="s">
        <v>597</v>
      </c>
      <c r="C139" s="2" t="s">
        <v>598</v>
      </c>
      <c r="D139" s="43" t="s">
        <v>21</v>
      </c>
      <c r="E139" s="2" t="s">
        <v>21</v>
      </c>
      <c r="F139" s="8">
        <v>1601515.669</v>
      </c>
      <c r="G139" s="8">
        <v>72762.335829702657</v>
      </c>
      <c r="H139" s="3">
        <v>4.5433421126086193</v>
      </c>
      <c r="I139" s="58">
        <v>4.1987156309526909E-2</v>
      </c>
      <c r="J139" s="1"/>
    </row>
    <row r="140" spans="1:10" ht="14.15" customHeight="1" x14ac:dyDescent="0.4">
      <c r="A140" s="44" t="s">
        <v>186</v>
      </c>
      <c r="B140" s="2" t="s">
        <v>599</v>
      </c>
      <c r="C140" s="2" t="s">
        <v>600</v>
      </c>
      <c r="D140" s="43" t="s">
        <v>7</v>
      </c>
      <c r="E140" s="2" t="s">
        <v>7</v>
      </c>
      <c r="F140" s="8">
        <v>1577937.6129999999</v>
      </c>
      <c r="G140" s="8">
        <v>451070.66120824183</v>
      </c>
      <c r="H140" s="3">
        <v>28.5860896839045</v>
      </c>
      <c r="I140" s="58">
        <v>0.26028815791618459</v>
      </c>
      <c r="J140" s="1"/>
    </row>
    <row r="141" spans="1:10" ht="14.15" customHeight="1" x14ac:dyDescent="0.4">
      <c r="A141" s="44" t="s">
        <v>174</v>
      </c>
      <c r="B141" s="2" t="s">
        <v>601</v>
      </c>
      <c r="C141" s="2" t="s">
        <v>602</v>
      </c>
      <c r="D141" s="43" t="s">
        <v>7</v>
      </c>
      <c r="E141" s="2" t="s">
        <v>7</v>
      </c>
      <c r="F141" s="8">
        <v>3432084.4160000002</v>
      </c>
      <c r="G141" s="8">
        <v>75329.337304021014</v>
      </c>
      <c r="H141" s="3">
        <v>2.1948567742927279</v>
      </c>
      <c r="I141" s="58">
        <v>4.3468432177322693E-2</v>
      </c>
      <c r="J141" s="1"/>
    </row>
    <row r="142" spans="1:10" ht="14.15" customHeight="1" x14ac:dyDescent="0.4">
      <c r="A142" s="44" t="s">
        <v>220</v>
      </c>
      <c r="B142" s="2" t="s">
        <v>603</v>
      </c>
      <c r="C142" s="2" t="s">
        <v>604</v>
      </c>
      <c r="D142" s="43" t="s">
        <v>35</v>
      </c>
      <c r="E142" s="2" t="s">
        <v>35</v>
      </c>
      <c r="F142" s="8">
        <v>370729.853</v>
      </c>
      <c r="G142" s="8">
        <v>14720.956824640551</v>
      </c>
      <c r="H142" s="3">
        <v>3.970804267721205</v>
      </c>
      <c r="I142" s="58">
        <v>8.4946574099627192E-3</v>
      </c>
      <c r="J142" s="1"/>
    </row>
    <row r="143" spans="1:10" ht="14.15" customHeight="1" x14ac:dyDescent="0.4">
      <c r="A143" s="44" t="s">
        <v>194</v>
      </c>
      <c r="B143" s="2" t="s">
        <v>605</v>
      </c>
      <c r="C143" s="2" t="s">
        <v>606</v>
      </c>
      <c r="D143" s="43" t="s">
        <v>1220</v>
      </c>
      <c r="E143" s="2" t="s">
        <v>57</v>
      </c>
      <c r="F143" s="8">
        <v>496398.41200000001</v>
      </c>
      <c r="G143" s="8">
        <v>144226.90041953529</v>
      </c>
      <c r="H143" s="3">
        <v>29.0546659564123</v>
      </c>
      <c r="I143" s="58">
        <v>8.3225439960128142E-2</v>
      </c>
      <c r="J143" s="1"/>
    </row>
    <row r="144" spans="1:10" ht="14.15" customHeight="1" x14ac:dyDescent="0.4">
      <c r="A144" s="44" t="s">
        <v>258</v>
      </c>
      <c r="B144" s="2" t="s">
        <v>607</v>
      </c>
      <c r="C144" s="2" t="s">
        <v>608</v>
      </c>
      <c r="D144" s="43" t="s">
        <v>7</v>
      </c>
      <c r="E144" s="2" t="s">
        <v>7</v>
      </c>
      <c r="F144" s="8">
        <v>1951434.986</v>
      </c>
      <c r="G144" s="8">
        <v>70525.124288444727</v>
      </c>
      <c r="H144" s="3">
        <v>3.614013523094882</v>
      </c>
      <c r="I144" s="58">
        <v>4.0696184138153471E-2</v>
      </c>
      <c r="J144" s="1"/>
    </row>
    <row r="145" spans="1:10" ht="14.15" customHeight="1" x14ac:dyDescent="0.4">
      <c r="A145" s="44" t="s">
        <v>198</v>
      </c>
      <c r="B145" s="2" t="s">
        <v>609</v>
      </c>
      <c r="C145" s="2" t="s">
        <v>610</v>
      </c>
      <c r="D145" s="43" t="s">
        <v>35</v>
      </c>
      <c r="E145" s="2" t="s">
        <v>35</v>
      </c>
      <c r="F145" s="8">
        <v>2049193.3940000001</v>
      </c>
      <c r="G145" s="8">
        <v>568152.50462995085</v>
      </c>
      <c r="H145" s="3">
        <v>27.725665439557378</v>
      </c>
      <c r="I145" s="58">
        <v>0.32784967315203961</v>
      </c>
      <c r="J145" s="1"/>
    </row>
    <row r="146" spans="1:10" ht="14.15" customHeight="1" x14ac:dyDescent="0.4">
      <c r="A146" s="44" t="s">
        <v>198</v>
      </c>
      <c r="B146" s="2" t="s">
        <v>611</v>
      </c>
      <c r="C146" s="2" t="s">
        <v>612</v>
      </c>
      <c r="D146" s="43" t="s">
        <v>35</v>
      </c>
      <c r="E146" s="2" t="s">
        <v>35</v>
      </c>
      <c r="F146" s="8">
        <v>1556181.9439999999</v>
      </c>
      <c r="G146" s="8">
        <v>189904.05906205799</v>
      </c>
      <c r="H146" s="3">
        <v>12.20320411724672</v>
      </c>
      <c r="I146" s="58">
        <v>0.1095832249024274</v>
      </c>
      <c r="J146" s="1"/>
    </row>
    <row r="147" spans="1:10" ht="14.15" customHeight="1" x14ac:dyDescent="0.4">
      <c r="A147" s="44" t="s">
        <v>184</v>
      </c>
      <c r="B147" s="2" t="s">
        <v>613</v>
      </c>
      <c r="C147" s="2" t="s">
        <v>614</v>
      </c>
      <c r="D147" s="43" t="s">
        <v>29</v>
      </c>
      <c r="E147" s="2" t="s">
        <v>29</v>
      </c>
      <c r="F147" s="8">
        <v>1041407.349</v>
      </c>
      <c r="G147" s="8">
        <v>86346.947657564306</v>
      </c>
      <c r="H147" s="3">
        <v>8.2913710701655798</v>
      </c>
      <c r="I147" s="58">
        <v>4.9826091298579817E-2</v>
      </c>
      <c r="J147" s="1"/>
    </row>
    <row r="148" spans="1:10" ht="14.15" customHeight="1" x14ac:dyDescent="0.4">
      <c r="A148" s="44" t="s">
        <v>230</v>
      </c>
      <c r="B148" s="2" t="s">
        <v>615</v>
      </c>
      <c r="C148" s="2" t="s">
        <v>616</v>
      </c>
      <c r="D148" s="43" t="s">
        <v>1211</v>
      </c>
      <c r="E148" s="2" t="s">
        <v>29</v>
      </c>
      <c r="F148" s="8">
        <v>2292025.733</v>
      </c>
      <c r="G148" s="8">
        <v>9352.2812856357796</v>
      </c>
      <c r="H148" s="3">
        <v>0.40803561456505588</v>
      </c>
      <c r="I148" s="58">
        <v>5.3966889835655434E-3</v>
      </c>
      <c r="J148" s="1"/>
    </row>
    <row r="149" spans="1:10" ht="14.15" customHeight="1" x14ac:dyDescent="0.4">
      <c r="A149" s="44" t="s">
        <v>200</v>
      </c>
      <c r="B149" s="2" t="s">
        <v>617</v>
      </c>
      <c r="C149" s="2" t="s">
        <v>618</v>
      </c>
      <c r="D149" s="43" t="s">
        <v>7</v>
      </c>
      <c r="E149" s="2" t="s">
        <v>7</v>
      </c>
      <c r="F149" s="8">
        <v>1969997.1939999999</v>
      </c>
      <c r="G149" s="8">
        <v>388530.98430035223</v>
      </c>
      <c r="H149" s="3">
        <v>19.722413081790009</v>
      </c>
      <c r="I149" s="58">
        <v>0.22419993782351741</v>
      </c>
      <c r="J149" s="1"/>
    </row>
    <row r="150" spans="1:10" ht="14.15" customHeight="1" x14ac:dyDescent="0.4">
      <c r="A150" s="44" t="s">
        <v>212</v>
      </c>
      <c r="B150" s="2" t="s">
        <v>619</v>
      </c>
      <c r="C150" s="2" t="s">
        <v>620</v>
      </c>
      <c r="D150" s="43" t="s">
        <v>29</v>
      </c>
      <c r="E150" s="2" t="s">
        <v>29</v>
      </c>
      <c r="F150" s="8">
        <v>1403936.6059999999</v>
      </c>
      <c r="G150" s="8">
        <v>244695.56767928481</v>
      </c>
      <c r="H150" s="3">
        <v>17.429246209090209</v>
      </c>
      <c r="I150" s="58">
        <v>0.14120040170844159</v>
      </c>
      <c r="J150" s="1"/>
    </row>
    <row r="151" spans="1:10" ht="14.15" customHeight="1" x14ac:dyDescent="0.4">
      <c r="A151" s="44" t="s">
        <v>266</v>
      </c>
      <c r="B151" s="2" t="s">
        <v>621</v>
      </c>
      <c r="C151" s="2" t="s">
        <v>622</v>
      </c>
      <c r="D151" s="43" t="s">
        <v>37</v>
      </c>
      <c r="E151" s="2" t="s">
        <v>37</v>
      </c>
      <c r="F151" s="8">
        <v>1246995.2180000001</v>
      </c>
      <c r="G151" s="8">
        <v>108064.8454498489</v>
      </c>
      <c r="H151" s="3">
        <v>8.6660192348747955</v>
      </c>
      <c r="I151" s="58">
        <v>6.2358299877660957E-2</v>
      </c>
      <c r="J151" s="1"/>
    </row>
    <row r="152" spans="1:10" ht="14.15" customHeight="1" x14ac:dyDescent="0.4">
      <c r="A152" s="44" t="s">
        <v>246</v>
      </c>
      <c r="B152" s="2" t="s">
        <v>623</v>
      </c>
      <c r="C152" s="2" t="s">
        <v>624</v>
      </c>
      <c r="D152" s="43" t="s">
        <v>1209</v>
      </c>
      <c r="E152" s="2" t="s">
        <v>412</v>
      </c>
      <c r="F152" s="8">
        <v>554774.95700000005</v>
      </c>
      <c r="G152" s="8">
        <v>67149.683989736193</v>
      </c>
      <c r="H152" s="3">
        <v>12.103950104895629</v>
      </c>
      <c r="I152" s="58">
        <v>3.874840253082501E-2</v>
      </c>
      <c r="J152" s="1"/>
    </row>
    <row r="153" spans="1:10" ht="14.15" customHeight="1" x14ac:dyDescent="0.4">
      <c r="A153" s="44" t="s">
        <v>248</v>
      </c>
      <c r="B153" s="2" t="s">
        <v>625</v>
      </c>
      <c r="C153" s="2" t="s">
        <v>626</v>
      </c>
      <c r="D153" s="43" t="s">
        <v>10</v>
      </c>
      <c r="E153" s="2" t="s">
        <v>10</v>
      </c>
      <c r="F153" s="8">
        <v>277299.09999999998</v>
      </c>
      <c r="G153" s="8">
        <v>2236.5507470348798</v>
      </c>
      <c r="H153" s="3">
        <v>0.80654814495787397</v>
      </c>
      <c r="I153" s="58">
        <v>1.2905908632417579E-3</v>
      </c>
      <c r="J153" s="1"/>
    </row>
    <row r="154" spans="1:10" ht="14.15" customHeight="1" x14ac:dyDescent="0.4">
      <c r="A154" s="44" t="s">
        <v>304</v>
      </c>
      <c r="B154" s="2" t="s">
        <v>627</v>
      </c>
      <c r="C154" s="2" t="s">
        <v>628</v>
      </c>
      <c r="D154" s="43" t="s">
        <v>37</v>
      </c>
      <c r="E154" s="2" t="s">
        <v>37</v>
      </c>
      <c r="F154" s="8">
        <v>1326133.041</v>
      </c>
      <c r="G154" s="8">
        <v>130580.2193373101</v>
      </c>
      <c r="H154" s="3">
        <v>9.8466907391767595</v>
      </c>
      <c r="I154" s="58">
        <v>7.5350688206051702E-2</v>
      </c>
      <c r="J154" s="1"/>
    </row>
    <row r="155" spans="1:10" ht="14.15" customHeight="1" x14ac:dyDescent="0.4">
      <c r="A155" s="44" t="s">
        <v>163</v>
      </c>
      <c r="B155" s="2" t="s">
        <v>629</v>
      </c>
      <c r="C155" s="2" t="s">
        <v>630</v>
      </c>
      <c r="D155" s="43" t="s">
        <v>29</v>
      </c>
      <c r="E155" s="2" t="s">
        <v>29</v>
      </c>
      <c r="F155" s="8">
        <v>5182219.2520000003</v>
      </c>
      <c r="G155" s="8">
        <v>870477.53025741037</v>
      </c>
      <c r="H155" s="3">
        <v>16.797389070743439</v>
      </c>
      <c r="I155" s="58">
        <v>0.50230487669321133</v>
      </c>
      <c r="J155" s="1"/>
    </row>
    <row r="156" spans="1:10" ht="14.15" customHeight="1" x14ac:dyDescent="0.4">
      <c r="A156" s="44" t="s">
        <v>176</v>
      </c>
      <c r="B156" s="2" t="s">
        <v>631</v>
      </c>
      <c r="C156" s="2" t="s">
        <v>632</v>
      </c>
      <c r="D156" s="43" t="s">
        <v>10</v>
      </c>
      <c r="E156" s="2" t="s">
        <v>10</v>
      </c>
      <c r="F156" s="8">
        <v>147137.83300000001</v>
      </c>
      <c r="G156" s="8">
        <v>2812.5800314331441</v>
      </c>
      <c r="H156" s="3">
        <v>1.911527425739064</v>
      </c>
      <c r="I156" s="58">
        <v>1.6229857943157249E-3</v>
      </c>
      <c r="J156" s="1"/>
    </row>
    <row r="157" spans="1:10" ht="14.15" customHeight="1" x14ac:dyDescent="0.4">
      <c r="A157" s="44" t="s">
        <v>272</v>
      </c>
      <c r="B157" s="2" t="s">
        <v>633</v>
      </c>
      <c r="C157" s="2" t="s">
        <v>634</v>
      </c>
      <c r="D157" s="43" t="s">
        <v>29</v>
      </c>
      <c r="E157" s="2" t="s">
        <v>29</v>
      </c>
      <c r="F157" s="8">
        <v>356502.45400000003</v>
      </c>
      <c r="G157" s="8">
        <v>228062.6334834728</v>
      </c>
      <c r="H157" s="3">
        <v>63.972247855402642</v>
      </c>
      <c r="I157" s="58">
        <v>0.13160244694239151</v>
      </c>
      <c r="J157" s="1"/>
    </row>
    <row r="158" spans="1:10" ht="14.15" customHeight="1" x14ac:dyDescent="0.4">
      <c r="A158" s="44" t="s">
        <v>304</v>
      </c>
      <c r="B158" s="2" t="s">
        <v>635</v>
      </c>
      <c r="C158" s="2" t="s">
        <v>636</v>
      </c>
      <c r="D158" s="43" t="s">
        <v>37</v>
      </c>
      <c r="E158" s="2" t="s">
        <v>37</v>
      </c>
      <c r="F158" s="8">
        <v>237415.90100000001</v>
      </c>
      <c r="G158" s="8">
        <v>181091.3356727747</v>
      </c>
      <c r="H158" s="3">
        <v>76.275992850527203</v>
      </c>
      <c r="I158" s="58">
        <v>0.10449788521068799</v>
      </c>
      <c r="J158" s="1"/>
    </row>
    <row r="159" spans="1:10" ht="14.15" customHeight="1" x14ac:dyDescent="0.4">
      <c r="A159" s="44" t="s">
        <v>254</v>
      </c>
      <c r="B159" s="2" t="s">
        <v>637</v>
      </c>
      <c r="C159" s="2" t="s">
        <v>638</v>
      </c>
      <c r="D159" s="43" t="s">
        <v>21</v>
      </c>
      <c r="E159" s="2" t="s">
        <v>21</v>
      </c>
      <c r="F159" s="8">
        <v>749823.15399999998</v>
      </c>
      <c r="G159" s="8">
        <v>372922.07031685399</v>
      </c>
      <c r="H159" s="3">
        <v>49.734669878819723</v>
      </c>
      <c r="I159" s="58">
        <v>0.21519288900115729</v>
      </c>
      <c r="J159" s="1"/>
    </row>
    <row r="160" spans="1:10" ht="14.15" customHeight="1" x14ac:dyDescent="0.4">
      <c r="A160" s="44" t="s">
        <v>133</v>
      </c>
      <c r="B160" s="2" t="s">
        <v>639</v>
      </c>
      <c r="C160" s="2" t="s">
        <v>640</v>
      </c>
      <c r="D160" s="43" t="s">
        <v>21</v>
      </c>
      <c r="E160" s="2" t="s">
        <v>21</v>
      </c>
      <c r="F160" s="8">
        <v>268734.71000000002</v>
      </c>
      <c r="G160" s="8">
        <v>261052.7194167249</v>
      </c>
      <c r="H160" s="3">
        <v>97.141422266116976</v>
      </c>
      <c r="I160" s="58">
        <v>0.15063921753186371</v>
      </c>
      <c r="J160" s="1"/>
    </row>
    <row r="161" spans="1:10" ht="14.15" customHeight="1" x14ac:dyDescent="0.4">
      <c r="A161" s="44" t="s">
        <v>240</v>
      </c>
      <c r="B161" s="2" t="s">
        <v>641</v>
      </c>
      <c r="C161" s="2" t="s">
        <v>642</v>
      </c>
      <c r="D161" s="43" t="s">
        <v>10</v>
      </c>
      <c r="E161" s="2" t="s">
        <v>10</v>
      </c>
      <c r="F161" s="8">
        <v>73476.907999999996</v>
      </c>
      <c r="G161" s="8">
        <v>54862.440017735811</v>
      </c>
      <c r="H161" s="3">
        <v>74.666233938063669</v>
      </c>
      <c r="I161" s="58">
        <v>3.1658107429893521E-2</v>
      </c>
      <c r="J161" s="1"/>
    </row>
    <row r="162" spans="1:10" ht="14.15" customHeight="1" x14ac:dyDescent="0.4">
      <c r="A162" s="44" t="s">
        <v>272</v>
      </c>
      <c r="B162" s="2" t="s">
        <v>643</v>
      </c>
      <c r="C162" s="2" t="s">
        <v>644</v>
      </c>
      <c r="D162" s="43" t="s">
        <v>29</v>
      </c>
      <c r="E162" s="2" t="s">
        <v>29</v>
      </c>
      <c r="F162" s="8">
        <v>859020.45200000005</v>
      </c>
      <c r="G162" s="8">
        <v>75936.019486849182</v>
      </c>
      <c r="H162" s="3">
        <v>8.8398383659029793</v>
      </c>
      <c r="I162" s="58">
        <v>4.3818515216166157E-2</v>
      </c>
      <c r="J162" s="1"/>
    </row>
    <row r="163" spans="1:10" ht="14.15" customHeight="1" x14ac:dyDescent="0.4">
      <c r="A163" s="44" t="s">
        <v>258</v>
      </c>
      <c r="B163" s="2" t="s">
        <v>645</v>
      </c>
      <c r="C163" s="2" t="s">
        <v>646</v>
      </c>
      <c r="D163" s="43" t="s">
        <v>7</v>
      </c>
      <c r="E163" s="2" t="s">
        <v>7</v>
      </c>
      <c r="F163" s="8">
        <v>5634726.8320000004</v>
      </c>
      <c r="G163" s="8">
        <v>797805.24209167622</v>
      </c>
      <c r="H163" s="3">
        <v>14.15872083737734</v>
      </c>
      <c r="I163" s="58">
        <v>0.46036968195555039</v>
      </c>
      <c r="J163" s="1"/>
    </row>
    <row r="164" spans="1:10" ht="14.15" customHeight="1" x14ac:dyDescent="0.4">
      <c r="A164" s="44" t="s">
        <v>214</v>
      </c>
      <c r="B164" s="2" t="s">
        <v>213</v>
      </c>
      <c r="C164" s="2" t="s">
        <v>647</v>
      </c>
      <c r="D164" s="43" t="s">
        <v>1210</v>
      </c>
      <c r="E164" s="2" t="s">
        <v>460</v>
      </c>
      <c r="F164" s="8">
        <v>1088197.581</v>
      </c>
      <c r="G164" s="8">
        <v>159317.1309200773</v>
      </c>
      <c r="H164" s="3">
        <v>14.640459940525931</v>
      </c>
      <c r="I164" s="58">
        <v>9.1933184970623041E-2</v>
      </c>
      <c r="J164" s="1"/>
    </row>
    <row r="165" spans="1:10" ht="14.15" customHeight="1" x14ac:dyDescent="0.4">
      <c r="A165" s="44" t="s">
        <v>157</v>
      </c>
      <c r="B165" s="2" t="s">
        <v>648</v>
      </c>
      <c r="C165" s="2" t="s">
        <v>649</v>
      </c>
      <c r="D165" s="43" t="s">
        <v>7</v>
      </c>
      <c r="E165" s="2" t="s">
        <v>7</v>
      </c>
      <c r="F165" s="8">
        <v>2324666.7140000002</v>
      </c>
      <c r="G165" s="8">
        <v>19294.952190994441</v>
      </c>
      <c r="H165" s="3">
        <v>0.83000939768239135</v>
      </c>
      <c r="I165" s="58">
        <v>1.1134059460711001E-2</v>
      </c>
      <c r="J165" s="1"/>
    </row>
    <row r="166" spans="1:10" ht="14.15" customHeight="1" x14ac:dyDescent="0.4">
      <c r="A166" s="44" t="s">
        <v>226</v>
      </c>
      <c r="B166" s="2" t="s">
        <v>650</v>
      </c>
      <c r="C166" s="2" t="s">
        <v>651</v>
      </c>
      <c r="D166" s="43" t="s">
        <v>21</v>
      </c>
      <c r="E166" s="2" t="s">
        <v>21</v>
      </c>
      <c r="F166" s="8">
        <v>1352702.344</v>
      </c>
      <c r="G166" s="8">
        <v>18295.28844723482</v>
      </c>
      <c r="H166" s="3">
        <v>1.3524992048978679</v>
      </c>
      <c r="I166" s="58">
        <v>1.0557208300181489E-2</v>
      </c>
      <c r="J166" s="1"/>
    </row>
    <row r="167" spans="1:10" ht="14.15" customHeight="1" x14ac:dyDescent="0.4">
      <c r="A167" s="44" t="s">
        <v>280</v>
      </c>
      <c r="B167" s="2" t="s">
        <v>652</v>
      </c>
      <c r="C167" s="2" t="s">
        <v>653</v>
      </c>
      <c r="D167" s="43" t="s">
        <v>12</v>
      </c>
      <c r="E167" s="2" t="s">
        <v>170</v>
      </c>
      <c r="F167" s="8">
        <v>36763.769999999997</v>
      </c>
      <c r="G167" s="8">
        <v>0</v>
      </c>
      <c r="H167" s="3">
        <v>0</v>
      </c>
      <c r="I167" s="58">
        <v>0</v>
      </c>
      <c r="J167" s="1"/>
    </row>
    <row r="168" spans="1:10" ht="14.15" customHeight="1" x14ac:dyDescent="0.4">
      <c r="A168" s="44" t="s">
        <v>190</v>
      </c>
      <c r="B168" s="2" t="s">
        <v>654</v>
      </c>
      <c r="C168" s="2" t="s">
        <v>655</v>
      </c>
      <c r="D168" s="43" t="s">
        <v>21</v>
      </c>
      <c r="E168" s="2" t="s">
        <v>21</v>
      </c>
      <c r="F168" s="8">
        <v>2257062.872</v>
      </c>
      <c r="G168" s="8">
        <v>252030.45712754939</v>
      </c>
      <c r="H168" s="3">
        <v>11.16630202260265</v>
      </c>
      <c r="I168" s="58">
        <v>0.14543296442465489</v>
      </c>
      <c r="J168" s="1"/>
    </row>
    <row r="169" spans="1:10" ht="14.15" customHeight="1" x14ac:dyDescent="0.4">
      <c r="A169" s="44" t="s">
        <v>308</v>
      </c>
      <c r="B169" s="2" t="s">
        <v>656</v>
      </c>
      <c r="C169" s="2" t="s">
        <v>657</v>
      </c>
      <c r="D169" s="43" t="s">
        <v>29</v>
      </c>
      <c r="E169" s="2" t="s">
        <v>29</v>
      </c>
      <c r="F169" s="8">
        <v>220919.951</v>
      </c>
      <c r="G169" s="8">
        <v>29608.843428053038</v>
      </c>
      <c r="H169" s="3">
        <v>13.40252127253687</v>
      </c>
      <c r="I169" s="58">
        <v>1.7085640846764609E-2</v>
      </c>
      <c r="J169" s="1"/>
    </row>
    <row r="170" spans="1:10" ht="14.15" customHeight="1" x14ac:dyDescent="0.4">
      <c r="A170" s="44" t="s">
        <v>184</v>
      </c>
      <c r="B170" s="2" t="s">
        <v>658</v>
      </c>
      <c r="C170" s="2" t="s">
        <v>659</v>
      </c>
      <c r="D170" s="43" t="s">
        <v>29</v>
      </c>
      <c r="E170" s="2" t="s">
        <v>29</v>
      </c>
      <c r="F170" s="8">
        <v>661771.27899999998</v>
      </c>
      <c r="G170" s="8">
        <v>180185.26057501789</v>
      </c>
      <c r="H170" s="3">
        <v>27.227724486214498</v>
      </c>
      <c r="I170" s="58">
        <v>0.103975038928695</v>
      </c>
      <c r="J170" s="1"/>
    </row>
    <row r="171" spans="1:10" ht="14.15" customHeight="1" x14ac:dyDescent="0.4">
      <c r="A171" s="44" t="s">
        <v>302</v>
      </c>
      <c r="B171" s="2" t="s">
        <v>660</v>
      </c>
      <c r="C171" s="2" t="s">
        <v>661</v>
      </c>
      <c r="D171" s="43" t="s">
        <v>21</v>
      </c>
      <c r="E171" s="2" t="s">
        <v>170</v>
      </c>
      <c r="F171" s="8">
        <v>170645.86900000001</v>
      </c>
      <c r="G171" s="8">
        <v>0</v>
      </c>
      <c r="H171" s="3">
        <v>0</v>
      </c>
      <c r="I171" s="58">
        <v>0</v>
      </c>
      <c r="J171" s="1"/>
    </row>
    <row r="172" spans="1:10" ht="14.15" customHeight="1" x14ac:dyDescent="0.4">
      <c r="A172" s="44" t="s">
        <v>270</v>
      </c>
      <c r="B172" s="2" t="s">
        <v>662</v>
      </c>
      <c r="C172" s="2" t="s">
        <v>663</v>
      </c>
      <c r="D172" s="43" t="s">
        <v>37</v>
      </c>
      <c r="E172" s="2" t="s">
        <v>37</v>
      </c>
      <c r="F172" s="8">
        <v>1415746.1780000001</v>
      </c>
      <c r="G172" s="8">
        <v>319666.35496388859</v>
      </c>
      <c r="H172" s="3">
        <v>22.57935496710828</v>
      </c>
      <c r="I172" s="58">
        <v>0.18446193431968541</v>
      </c>
      <c r="J172" s="1"/>
    </row>
    <row r="173" spans="1:10" ht="14.15" customHeight="1" x14ac:dyDescent="0.4">
      <c r="A173" s="44" t="s">
        <v>270</v>
      </c>
      <c r="B173" s="2" t="s">
        <v>664</v>
      </c>
      <c r="C173" s="2" t="s">
        <v>665</v>
      </c>
      <c r="D173" s="43" t="s">
        <v>37</v>
      </c>
      <c r="E173" s="2" t="s">
        <v>37</v>
      </c>
      <c r="F173" s="8">
        <v>1196333.6710000001</v>
      </c>
      <c r="G173" s="8">
        <v>286513.20638618612</v>
      </c>
      <c r="H173" s="3">
        <v>23.949272124614971</v>
      </c>
      <c r="I173" s="58">
        <v>0.1653310692146549</v>
      </c>
      <c r="J173" s="1"/>
    </row>
    <row r="174" spans="1:10" ht="14.15" customHeight="1" x14ac:dyDescent="0.4">
      <c r="A174" s="44" t="s">
        <v>270</v>
      </c>
      <c r="B174" s="2" t="s">
        <v>666</v>
      </c>
      <c r="C174" s="2" t="s">
        <v>667</v>
      </c>
      <c r="D174" s="43" t="s">
        <v>10</v>
      </c>
      <c r="E174" s="2" t="s">
        <v>10</v>
      </c>
      <c r="F174" s="8">
        <v>504377.10200000001</v>
      </c>
      <c r="G174" s="8">
        <v>25925.102611635532</v>
      </c>
      <c r="H174" s="3">
        <v>5.1400237062378631</v>
      </c>
      <c r="I174" s="58">
        <v>1.495995590689812E-2</v>
      </c>
      <c r="J174" s="1"/>
    </row>
    <row r="175" spans="1:10" ht="14.15" customHeight="1" x14ac:dyDescent="0.4">
      <c r="A175" s="44" t="s">
        <v>184</v>
      </c>
      <c r="B175" s="2" t="s">
        <v>668</v>
      </c>
      <c r="C175" s="2" t="s">
        <v>669</v>
      </c>
      <c r="D175" s="43" t="s">
        <v>29</v>
      </c>
      <c r="E175" s="2" t="s">
        <v>29</v>
      </c>
      <c r="F175" s="8">
        <v>1607220.8160000001</v>
      </c>
      <c r="G175" s="8">
        <v>179927.69372214211</v>
      </c>
      <c r="H175" s="3">
        <v>11.19495790067854</v>
      </c>
      <c r="I175" s="58">
        <v>0.10382641121370299</v>
      </c>
      <c r="J175" s="1"/>
    </row>
    <row r="176" spans="1:10" ht="14.15" customHeight="1" x14ac:dyDescent="0.4">
      <c r="A176" s="44" t="s">
        <v>212</v>
      </c>
      <c r="B176" s="2" t="s">
        <v>670</v>
      </c>
      <c r="C176" s="2" t="s">
        <v>671</v>
      </c>
      <c r="D176" s="43" t="s">
        <v>29</v>
      </c>
      <c r="E176" s="2" t="s">
        <v>29</v>
      </c>
      <c r="F176" s="8">
        <v>2208467.8909999998</v>
      </c>
      <c r="G176" s="8">
        <v>390211.68852405588</v>
      </c>
      <c r="H176" s="3">
        <v>17.668886657318211</v>
      </c>
      <c r="I176" s="58">
        <v>0.22516978012099251</v>
      </c>
      <c r="J176" s="1"/>
    </row>
    <row r="177" spans="1:10" ht="14.15" customHeight="1" x14ac:dyDescent="0.4">
      <c r="A177" s="44" t="s">
        <v>284</v>
      </c>
      <c r="B177" s="2" t="s">
        <v>672</v>
      </c>
      <c r="C177" s="2" t="s">
        <v>673</v>
      </c>
      <c r="D177" s="43" t="s">
        <v>10</v>
      </c>
      <c r="E177" s="2" t="s">
        <v>10</v>
      </c>
      <c r="F177" s="8">
        <v>461514.734</v>
      </c>
      <c r="G177" s="8">
        <v>32547.84867365766</v>
      </c>
      <c r="H177" s="3">
        <v>7.052396440642708</v>
      </c>
      <c r="I177" s="58">
        <v>1.8781579703517841E-2</v>
      </c>
      <c r="J177" s="1"/>
    </row>
    <row r="178" spans="1:10" ht="14.15" customHeight="1" x14ac:dyDescent="0.4">
      <c r="A178" s="44" t="s">
        <v>284</v>
      </c>
      <c r="B178" s="2" t="s">
        <v>674</v>
      </c>
      <c r="C178" s="2" t="s">
        <v>675</v>
      </c>
      <c r="D178" s="43" t="s">
        <v>10</v>
      </c>
      <c r="E178" s="2" t="s">
        <v>10</v>
      </c>
      <c r="F178" s="8">
        <v>122752.049</v>
      </c>
      <c r="G178" s="8">
        <v>11262.20522363768</v>
      </c>
      <c r="H178" s="3">
        <v>9.1747594564695856</v>
      </c>
      <c r="I178" s="58">
        <v>6.4988014159080097E-3</v>
      </c>
      <c r="J178" s="1"/>
    </row>
    <row r="179" spans="1:10" ht="14.15" customHeight="1" x14ac:dyDescent="0.4">
      <c r="A179" s="44" t="s">
        <v>145</v>
      </c>
      <c r="B179" s="2" t="s">
        <v>676</v>
      </c>
      <c r="C179" s="2" t="s">
        <v>677</v>
      </c>
      <c r="D179" s="43" t="s">
        <v>1213</v>
      </c>
      <c r="E179" s="2" t="s">
        <v>29</v>
      </c>
      <c r="F179" s="8">
        <v>1218954.06</v>
      </c>
      <c r="G179" s="8">
        <v>16601.302094424911</v>
      </c>
      <c r="H179" s="3">
        <v>1.3619300873754761</v>
      </c>
      <c r="I179" s="58">
        <v>9.5797016139186758E-3</v>
      </c>
      <c r="J179" s="1"/>
    </row>
    <row r="180" spans="1:10" ht="14.15" customHeight="1" x14ac:dyDescent="0.4">
      <c r="A180" s="44" t="s">
        <v>242</v>
      </c>
      <c r="B180" s="2" t="s">
        <v>678</v>
      </c>
      <c r="C180" s="2" t="s">
        <v>679</v>
      </c>
      <c r="D180" s="43" t="s">
        <v>1214</v>
      </c>
      <c r="E180" s="2" t="s">
        <v>568</v>
      </c>
      <c r="F180" s="8">
        <v>4640818.5549999997</v>
      </c>
      <c r="G180" s="8">
        <v>243530.15419447701</v>
      </c>
      <c r="H180" s="3">
        <v>5.2475689645762724</v>
      </c>
      <c r="I180" s="58">
        <v>0.140527905456172</v>
      </c>
      <c r="J180" s="1"/>
    </row>
    <row r="181" spans="1:10" ht="14.15" customHeight="1" x14ac:dyDescent="0.4">
      <c r="A181" s="44" t="s">
        <v>308</v>
      </c>
      <c r="B181" s="2" t="s">
        <v>680</v>
      </c>
      <c r="C181" s="2" t="s">
        <v>681</v>
      </c>
      <c r="D181" s="43" t="s">
        <v>29</v>
      </c>
      <c r="E181" s="2" t="s">
        <v>29</v>
      </c>
      <c r="F181" s="8">
        <v>195200.32699999999</v>
      </c>
      <c r="G181" s="8">
        <v>40321.594713289029</v>
      </c>
      <c r="H181" s="3">
        <v>20.656520064789149</v>
      </c>
      <c r="I181" s="58">
        <v>2.3267382507326781E-2</v>
      </c>
      <c r="J181" s="1"/>
    </row>
    <row r="182" spans="1:10" ht="14.15" customHeight="1" x14ac:dyDescent="0.4">
      <c r="A182" s="44" t="s">
        <v>244</v>
      </c>
      <c r="B182" s="2" t="s">
        <v>682</v>
      </c>
      <c r="C182" s="2" t="s">
        <v>683</v>
      </c>
      <c r="D182" s="43" t="s">
        <v>10</v>
      </c>
      <c r="E182" s="2" t="s">
        <v>10</v>
      </c>
      <c r="F182" s="8">
        <v>230853.95300000001</v>
      </c>
      <c r="G182" s="8">
        <v>1768.2939536990821</v>
      </c>
      <c r="H182" s="3">
        <v>0.76597949947128785</v>
      </c>
      <c r="I182" s="58">
        <v>1.0203855303508071E-3</v>
      </c>
      <c r="J182" s="1"/>
    </row>
    <row r="183" spans="1:10" ht="14.15" customHeight="1" x14ac:dyDescent="0.4">
      <c r="A183" s="44" t="s">
        <v>143</v>
      </c>
      <c r="B183" s="2" t="s">
        <v>684</v>
      </c>
      <c r="C183" s="2" t="s">
        <v>685</v>
      </c>
      <c r="D183" s="43" t="s">
        <v>29</v>
      </c>
      <c r="E183" s="2" t="s">
        <v>29</v>
      </c>
      <c r="F183" s="8">
        <v>2693397.4640000002</v>
      </c>
      <c r="G183" s="8">
        <v>37465.116776695628</v>
      </c>
      <c r="H183" s="3">
        <v>1.3909984425787529</v>
      </c>
      <c r="I183" s="58">
        <v>2.1619065637742411E-2</v>
      </c>
      <c r="J183" s="1"/>
    </row>
    <row r="184" spans="1:10" ht="14.15" customHeight="1" x14ac:dyDescent="0.4">
      <c r="A184" s="44" t="s">
        <v>151</v>
      </c>
      <c r="B184" s="2" t="s">
        <v>686</v>
      </c>
      <c r="C184" s="2" t="s">
        <v>687</v>
      </c>
      <c r="D184" s="43" t="s">
        <v>29</v>
      </c>
      <c r="E184" s="2" t="s">
        <v>29</v>
      </c>
      <c r="F184" s="8">
        <v>1444222.8259999999</v>
      </c>
      <c r="G184" s="8">
        <v>706817.72057815304</v>
      </c>
      <c r="H184" s="3">
        <v>48.94104343550606</v>
      </c>
      <c r="I184" s="58">
        <v>0.40786576980866701</v>
      </c>
      <c r="J184" s="1"/>
    </row>
    <row r="185" spans="1:10" ht="14.15" customHeight="1" x14ac:dyDescent="0.4">
      <c r="A185" s="44" t="s">
        <v>182</v>
      </c>
      <c r="B185" s="2" t="s">
        <v>688</v>
      </c>
      <c r="C185" s="2" t="s">
        <v>689</v>
      </c>
      <c r="D185" s="43" t="s">
        <v>29</v>
      </c>
      <c r="E185" s="2" t="s">
        <v>29</v>
      </c>
      <c r="F185" s="8">
        <v>1486925.8629999999</v>
      </c>
      <c r="G185" s="8">
        <v>34153.528513263213</v>
      </c>
      <c r="H185" s="3">
        <v>2.2969220835499859</v>
      </c>
      <c r="I185" s="58">
        <v>1.970812954059788E-2</v>
      </c>
      <c r="J185" s="1"/>
    </row>
    <row r="186" spans="1:10" ht="14.15" customHeight="1" x14ac:dyDescent="0.4">
      <c r="A186" s="44" t="s">
        <v>284</v>
      </c>
      <c r="B186" s="2" t="s">
        <v>690</v>
      </c>
      <c r="C186" s="2" t="s">
        <v>691</v>
      </c>
      <c r="D186" s="43" t="s">
        <v>1212</v>
      </c>
      <c r="E186" s="2" t="s">
        <v>692</v>
      </c>
      <c r="F186" s="8">
        <v>135981.035</v>
      </c>
      <c r="G186" s="8">
        <v>51315.975712093088</v>
      </c>
      <c r="H186" s="3">
        <v>37.737597534901163</v>
      </c>
      <c r="I186" s="58">
        <v>2.9611637241035282E-2</v>
      </c>
      <c r="J186" s="1"/>
    </row>
    <row r="187" spans="1:10" ht="14.15" customHeight="1" x14ac:dyDescent="0.4">
      <c r="A187" s="44" t="s">
        <v>270</v>
      </c>
      <c r="B187" s="2" t="s">
        <v>693</v>
      </c>
      <c r="C187" s="2" t="s">
        <v>694</v>
      </c>
      <c r="D187" s="43" t="s">
        <v>10</v>
      </c>
      <c r="E187" s="2" t="s">
        <v>10</v>
      </c>
      <c r="F187" s="8">
        <v>131309.848</v>
      </c>
      <c r="G187" s="8">
        <v>115183.0756193267</v>
      </c>
      <c r="H187" s="3">
        <v>87.718535489681372</v>
      </c>
      <c r="I187" s="58">
        <v>6.6465840397972958E-2</v>
      </c>
      <c r="J187" s="1"/>
    </row>
    <row r="188" spans="1:10" ht="14.15" customHeight="1" x14ac:dyDescent="0.4">
      <c r="A188" s="44" t="s">
        <v>220</v>
      </c>
      <c r="B188" s="2" t="s">
        <v>695</v>
      </c>
      <c r="C188" s="2" t="s">
        <v>696</v>
      </c>
      <c r="D188" s="43" t="s">
        <v>35</v>
      </c>
      <c r="E188" s="2" t="s">
        <v>35</v>
      </c>
      <c r="F188" s="8">
        <v>441685.00699999998</v>
      </c>
      <c r="G188" s="8">
        <v>152243.92736088141</v>
      </c>
      <c r="H188" s="3">
        <v>34.468891845559376</v>
      </c>
      <c r="I188" s="58">
        <v>8.7851626839447333E-2</v>
      </c>
      <c r="J188" s="1"/>
    </row>
    <row r="189" spans="1:10" ht="14.15" customHeight="1" x14ac:dyDescent="0.4">
      <c r="A189" s="44" t="s">
        <v>244</v>
      </c>
      <c r="B189" s="2" t="s">
        <v>697</v>
      </c>
      <c r="C189" s="2" t="s">
        <v>698</v>
      </c>
      <c r="D189" s="43" t="s">
        <v>10</v>
      </c>
      <c r="E189" s="2" t="s">
        <v>10</v>
      </c>
      <c r="F189" s="8">
        <v>78307.331999999995</v>
      </c>
      <c r="G189" s="8">
        <v>41408.039301817887</v>
      </c>
      <c r="H189" s="3">
        <v>52.878878955827389</v>
      </c>
      <c r="I189" s="58">
        <v>2.3894310137398539E-2</v>
      </c>
      <c r="J189" s="1"/>
    </row>
    <row r="190" spans="1:10" ht="14.15" customHeight="1" x14ac:dyDescent="0.4">
      <c r="A190" s="44" t="s">
        <v>240</v>
      </c>
      <c r="B190" s="2" t="s">
        <v>699</v>
      </c>
      <c r="C190" s="2" t="s">
        <v>700</v>
      </c>
      <c r="D190" s="43" t="s">
        <v>10</v>
      </c>
      <c r="E190" s="2" t="s">
        <v>10</v>
      </c>
      <c r="F190" s="8">
        <v>602422.821</v>
      </c>
      <c r="G190" s="8">
        <v>106539.15589620281</v>
      </c>
      <c r="H190" s="3">
        <v>17.685112877920471</v>
      </c>
      <c r="I190" s="58">
        <v>6.1477908050786692E-2</v>
      </c>
      <c r="J190" s="1"/>
    </row>
    <row r="191" spans="1:10" ht="14.15" customHeight="1" x14ac:dyDescent="0.4">
      <c r="A191" s="44" t="s">
        <v>212</v>
      </c>
      <c r="B191" s="2" t="s">
        <v>701</v>
      </c>
      <c r="C191" s="2" t="s">
        <v>702</v>
      </c>
      <c r="D191" s="43" t="s">
        <v>29</v>
      </c>
      <c r="E191" s="2" t="s">
        <v>29</v>
      </c>
      <c r="F191" s="8">
        <v>1057365.9909999999</v>
      </c>
      <c r="G191" s="8">
        <v>219283.10779849539</v>
      </c>
      <c r="H191" s="3">
        <v>20.738619330011669</v>
      </c>
      <c r="I191" s="58">
        <v>0.12653626382642599</v>
      </c>
      <c r="J191" s="1"/>
    </row>
    <row r="192" spans="1:10" ht="14.15" customHeight="1" x14ac:dyDescent="0.4">
      <c r="A192" s="44" t="s">
        <v>139</v>
      </c>
      <c r="B192" s="2" t="s">
        <v>703</v>
      </c>
      <c r="C192" s="2" t="s">
        <v>704</v>
      </c>
      <c r="D192" s="43" t="s">
        <v>7</v>
      </c>
      <c r="E192" s="2" t="s">
        <v>7</v>
      </c>
      <c r="F192" s="8">
        <v>2992929.3939999999</v>
      </c>
      <c r="G192" s="8">
        <v>60061.972575665161</v>
      </c>
      <c r="H192" s="3">
        <v>2.0067955059706022</v>
      </c>
      <c r="I192" s="58">
        <v>3.4658472711695483E-2</v>
      </c>
      <c r="J192" s="1"/>
    </row>
    <row r="193" spans="1:10" ht="14.15" customHeight="1" x14ac:dyDescent="0.4">
      <c r="A193" s="44" t="s">
        <v>302</v>
      </c>
      <c r="B193" s="2" t="s">
        <v>705</v>
      </c>
      <c r="C193" s="2" t="s">
        <v>706</v>
      </c>
      <c r="D193" s="43" t="s">
        <v>1216</v>
      </c>
      <c r="E193" s="2" t="s">
        <v>707</v>
      </c>
      <c r="F193" s="8">
        <v>6441592.2549999999</v>
      </c>
      <c r="G193" s="8">
        <v>1268270.203066912</v>
      </c>
      <c r="H193" s="3">
        <v>19.68876875251572</v>
      </c>
      <c r="I193" s="58">
        <v>0.73184922737386915</v>
      </c>
      <c r="J193" s="1"/>
    </row>
    <row r="194" spans="1:10" ht="14.15" customHeight="1" x14ac:dyDescent="0.4">
      <c r="A194" s="44" t="s">
        <v>284</v>
      </c>
      <c r="B194" s="2" t="s">
        <v>708</v>
      </c>
      <c r="C194" s="2" t="s">
        <v>709</v>
      </c>
      <c r="D194" s="43" t="s">
        <v>10</v>
      </c>
      <c r="E194" s="2" t="s">
        <v>10</v>
      </c>
      <c r="F194" s="8">
        <v>437384.054</v>
      </c>
      <c r="G194" s="8">
        <v>202290.07039390699</v>
      </c>
      <c r="H194" s="3">
        <v>46.249987521014432</v>
      </c>
      <c r="I194" s="58">
        <v>0.1167305132338394</v>
      </c>
      <c r="J194" s="1"/>
    </row>
    <row r="195" spans="1:10" ht="14.15" customHeight="1" x14ac:dyDescent="0.4">
      <c r="A195" s="44" t="s">
        <v>234</v>
      </c>
      <c r="B195" s="2" t="s">
        <v>710</v>
      </c>
      <c r="C195" s="2" t="s">
        <v>711</v>
      </c>
      <c r="D195" s="43" t="s">
        <v>10</v>
      </c>
      <c r="E195" s="2" t="s">
        <v>170</v>
      </c>
      <c r="F195" s="8">
        <v>399575.70500000002</v>
      </c>
      <c r="G195" s="8">
        <v>0</v>
      </c>
      <c r="H195" s="3">
        <v>0</v>
      </c>
      <c r="I195" s="58">
        <v>0</v>
      </c>
      <c r="J195" s="1"/>
    </row>
    <row r="196" spans="1:10" ht="14.15" customHeight="1" x14ac:dyDescent="0.4">
      <c r="A196" s="44" t="s">
        <v>184</v>
      </c>
      <c r="B196" s="2" t="s">
        <v>712</v>
      </c>
      <c r="C196" s="2" t="s">
        <v>713</v>
      </c>
      <c r="D196" s="43" t="s">
        <v>29</v>
      </c>
      <c r="E196" s="2" t="s">
        <v>29</v>
      </c>
      <c r="F196" s="8">
        <v>2929528.4589999998</v>
      </c>
      <c r="G196" s="8">
        <v>186794.32820586211</v>
      </c>
      <c r="H196" s="3">
        <v>6.3762592110002796</v>
      </c>
      <c r="I196" s="58">
        <v>0.1077887696523204</v>
      </c>
      <c r="J196" s="1"/>
    </row>
    <row r="197" spans="1:10" ht="14.15" customHeight="1" x14ac:dyDescent="0.4">
      <c r="A197" s="44" t="s">
        <v>222</v>
      </c>
      <c r="B197" s="2" t="s">
        <v>221</v>
      </c>
      <c r="C197" s="2" t="s">
        <v>714</v>
      </c>
      <c r="D197" s="43" t="s">
        <v>57</v>
      </c>
      <c r="E197" s="2" t="s">
        <v>57</v>
      </c>
      <c r="F197" s="8">
        <v>425566.53600000002</v>
      </c>
      <c r="G197" s="8">
        <v>84576.603627436765</v>
      </c>
      <c r="H197" s="3">
        <v>19.873884921120009</v>
      </c>
      <c r="I197" s="58">
        <v>4.8804522781475408E-2</v>
      </c>
      <c r="J197" s="1"/>
    </row>
    <row r="198" spans="1:10" ht="14.15" customHeight="1" x14ac:dyDescent="0.4">
      <c r="A198" s="44" t="s">
        <v>198</v>
      </c>
      <c r="B198" s="2" t="s">
        <v>715</v>
      </c>
      <c r="C198" s="2" t="s">
        <v>716</v>
      </c>
      <c r="D198" s="43" t="s">
        <v>35</v>
      </c>
      <c r="E198" s="2" t="s">
        <v>35</v>
      </c>
      <c r="F198" s="8">
        <v>1922414.2439999999</v>
      </c>
      <c r="G198" s="8">
        <v>156851.17071599749</v>
      </c>
      <c r="H198" s="3">
        <v>8.1590724374593986</v>
      </c>
      <c r="I198" s="58">
        <v>9.0510214482373452E-2</v>
      </c>
      <c r="J198" s="1"/>
    </row>
    <row r="199" spans="1:10" ht="14.15" customHeight="1" x14ac:dyDescent="0.4">
      <c r="A199" s="44" t="s">
        <v>206</v>
      </c>
      <c r="B199" s="2" t="s">
        <v>717</v>
      </c>
      <c r="C199" s="2" t="s">
        <v>718</v>
      </c>
      <c r="D199" s="43" t="s">
        <v>1210</v>
      </c>
      <c r="E199" s="2" t="s">
        <v>460</v>
      </c>
      <c r="F199" s="8">
        <v>4961542.4539999999</v>
      </c>
      <c r="G199" s="8">
        <v>3157934.7336573941</v>
      </c>
      <c r="H199" s="3">
        <v>63.648245740827313</v>
      </c>
      <c r="I199" s="58">
        <v>1.822271066004328</v>
      </c>
      <c r="J199" s="1"/>
    </row>
    <row r="200" spans="1:10" ht="14.15" customHeight="1" x14ac:dyDescent="0.4">
      <c r="A200" s="44" t="s">
        <v>308</v>
      </c>
      <c r="B200" s="2" t="s">
        <v>719</v>
      </c>
      <c r="C200" s="2" t="s">
        <v>720</v>
      </c>
      <c r="D200" s="43" t="s">
        <v>29</v>
      </c>
      <c r="E200" s="2" t="s">
        <v>29</v>
      </c>
      <c r="F200" s="8">
        <v>257594.459</v>
      </c>
      <c r="G200" s="8">
        <v>200436.90653431619</v>
      </c>
      <c r="H200" s="3">
        <v>77.811031849220086</v>
      </c>
      <c r="I200" s="58">
        <v>0.11566115393204469</v>
      </c>
      <c r="J200" s="1"/>
    </row>
    <row r="201" spans="1:10" ht="14.15" customHeight="1" x14ac:dyDescent="0.4">
      <c r="A201" s="44" t="s">
        <v>270</v>
      </c>
      <c r="B201" s="2" t="s">
        <v>721</v>
      </c>
      <c r="C201" s="2" t="s">
        <v>722</v>
      </c>
      <c r="D201" s="43" t="s">
        <v>1214</v>
      </c>
      <c r="E201" s="2" t="s">
        <v>568</v>
      </c>
      <c r="F201" s="8">
        <v>479221.22100000002</v>
      </c>
      <c r="G201" s="8">
        <v>143992.6055325873</v>
      </c>
      <c r="H201" s="3">
        <v>30.047209769240851</v>
      </c>
      <c r="I201" s="58">
        <v>8.3090241221266431E-2</v>
      </c>
      <c r="J201" s="1"/>
    </row>
    <row r="202" spans="1:10" ht="14.15" customHeight="1" x14ac:dyDescent="0.4">
      <c r="A202" s="44" t="s">
        <v>230</v>
      </c>
      <c r="B202" s="2" t="s">
        <v>723</v>
      </c>
      <c r="C202" s="2" t="s">
        <v>724</v>
      </c>
      <c r="D202" s="43" t="s">
        <v>29</v>
      </c>
      <c r="E202" s="2" t="s">
        <v>29</v>
      </c>
      <c r="F202" s="8">
        <v>2293311.3560000001</v>
      </c>
      <c r="G202" s="8">
        <v>138.70791211886521</v>
      </c>
      <c r="H202" s="3">
        <v>6.0483680838174514E-3</v>
      </c>
      <c r="I202" s="58">
        <v>8.0040734276778025E-5</v>
      </c>
      <c r="J202" s="1"/>
    </row>
    <row r="203" spans="1:10" ht="14.15" customHeight="1" x14ac:dyDescent="0.4">
      <c r="A203" s="44" t="s">
        <v>262</v>
      </c>
      <c r="B203" s="2" t="s">
        <v>725</v>
      </c>
      <c r="C203" s="2" t="s">
        <v>726</v>
      </c>
      <c r="D203" s="43" t="s">
        <v>10</v>
      </c>
      <c r="E203" s="2" t="s">
        <v>10</v>
      </c>
      <c r="F203" s="8">
        <v>2377522.835</v>
      </c>
      <c r="G203" s="8">
        <v>79484.530123515302</v>
      </c>
      <c r="H203" s="3">
        <v>3.343165792286293</v>
      </c>
      <c r="I203" s="58">
        <v>4.5866166230510007E-2</v>
      </c>
      <c r="J203" s="1"/>
    </row>
    <row r="204" spans="1:10" ht="14.15" customHeight="1" x14ac:dyDescent="0.4">
      <c r="A204" s="44" t="s">
        <v>165</v>
      </c>
      <c r="B204" s="2" t="s">
        <v>727</v>
      </c>
      <c r="C204" s="2" t="s">
        <v>728</v>
      </c>
      <c r="D204" s="43" t="s">
        <v>10</v>
      </c>
      <c r="E204" s="2" t="s">
        <v>10</v>
      </c>
      <c r="F204" s="8">
        <v>1140082.44</v>
      </c>
      <c r="G204" s="8">
        <v>15977.7203990403</v>
      </c>
      <c r="H204" s="3">
        <v>1.4014530737830071</v>
      </c>
      <c r="I204" s="58">
        <v>9.219866792546912E-3</v>
      </c>
      <c r="J204" s="1"/>
    </row>
    <row r="205" spans="1:10" ht="14.15" customHeight="1" x14ac:dyDescent="0.4">
      <c r="A205" s="44" t="s">
        <v>204</v>
      </c>
      <c r="B205" s="2" t="s">
        <v>729</v>
      </c>
      <c r="C205" s="2" t="s">
        <v>730</v>
      </c>
      <c r="D205" s="43" t="s">
        <v>21</v>
      </c>
      <c r="E205" s="2" t="s">
        <v>21</v>
      </c>
      <c r="F205" s="8">
        <v>289541.08600000001</v>
      </c>
      <c r="G205" s="8">
        <v>137833.4254679147</v>
      </c>
      <c r="H205" s="3">
        <v>47.604099083856667</v>
      </c>
      <c r="I205" s="58">
        <v>7.9536115956250347E-2</v>
      </c>
      <c r="J205" s="1"/>
    </row>
    <row r="206" spans="1:10" ht="14.15" customHeight="1" x14ac:dyDescent="0.4">
      <c r="A206" s="44" t="s">
        <v>204</v>
      </c>
      <c r="B206" s="2" t="s">
        <v>731</v>
      </c>
      <c r="C206" s="2" t="s">
        <v>732</v>
      </c>
      <c r="D206" s="43" t="s">
        <v>21</v>
      </c>
      <c r="E206" s="2" t="s">
        <v>170</v>
      </c>
      <c r="F206" s="8">
        <v>82932.096999999994</v>
      </c>
      <c r="G206" s="8">
        <v>0</v>
      </c>
      <c r="H206" s="3">
        <v>0</v>
      </c>
      <c r="I206" s="58">
        <v>0</v>
      </c>
      <c r="J206" s="1"/>
    </row>
    <row r="207" spans="1:10" ht="14.15" customHeight="1" x14ac:dyDescent="0.4">
      <c r="A207" s="44" t="s">
        <v>163</v>
      </c>
      <c r="B207" s="2" t="s">
        <v>733</v>
      </c>
      <c r="C207" s="2" t="s">
        <v>734</v>
      </c>
      <c r="D207" s="43" t="s">
        <v>32</v>
      </c>
      <c r="E207" s="2" t="s">
        <v>35</v>
      </c>
      <c r="F207" s="8">
        <v>1204026.7590000001</v>
      </c>
      <c r="G207" s="8">
        <v>186130.77817571751</v>
      </c>
      <c r="H207" s="3">
        <v>15.459023380037481</v>
      </c>
      <c r="I207" s="58">
        <v>0.1074058712954002</v>
      </c>
      <c r="J207" s="1"/>
    </row>
    <row r="208" spans="1:10" ht="14.15" customHeight="1" x14ac:dyDescent="0.4">
      <c r="A208" s="44" t="s">
        <v>234</v>
      </c>
      <c r="B208" s="2" t="s">
        <v>735</v>
      </c>
      <c r="C208" s="2" t="s">
        <v>736</v>
      </c>
      <c r="D208" s="43" t="s">
        <v>29</v>
      </c>
      <c r="E208" s="2" t="s">
        <v>29</v>
      </c>
      <c r="F208" s="8">
        <v>1290483.9620000001</v>
      </c>
      <c r="G208" s="8">
        <v>28812.877280896661</v>
      </c>
      <c r="H208" s="3">
        <v>2.2327187419084451</v>
      </c>
      <c r="I208" s="58">
        <v>1.6626332405705681E-2</v>
      </c>
      <c r="J208" s="1"/>
    </row>
    <row r="209" spans="1:10" ht="14.15" customHeight="1" x14ac:dyDescent="0.4">
      <c r="A209" s="44" t="s">
        <v>202</v>
      </c>
      <c r="B209" s="2" t="s">
        <v>737</v>
      </c>
      <c r="C209" s="2" t="s">
        <v>738</v>
      </c>
      <c r="D209" s="43" t="s">
        <v>7</v>
      </c>
      <c r="E209" s="2" t="s">
        <v>7</v>
      </c>
      <c r="F209" s="8">
        <v>12714804.851</v>
      </c>
      <c r="G209" s="8">
        <v>6213178.0152608966</v>
      </c>
      <c r="H209" s="3">
        <v>48.865697020684038</v>
      </c>
      <c r="I209" s="58">
        <v>3.585284522974082</v>
      </c>
      <c r="J209" s="1"/>
    </row>
    <row r="210" spans="1:10" ht="14.15" customHeight="1" x14ac:dyDescent="0.4">
      <c r="A210" s="44" t="s">
        <v>151</v>
      </c>
      <c r="B210" s="2" t="s">
        <v>739</v>
      </c>
      <c r="C210" s="2" t="s">
        <v>740</v>
      </c>
      <c r="D210" s="43" t="s">
        <v>29</v>
      </c>
      <c r="E210" s="2" t="s">
        <v>29</v>
      </c>
      <c r="F210" s="8">
        <v>1791227.63</v>
      </c>
      <c r="G210" s="8">
        <v>970475.51395470486</v>
      </c>
      <c r="H210" s="3">
        <v>54.179351507362853</v>
      </c>
      <c r="I210" s="58">
        <v>0.5600082327531728</v>
      </c>
      <c r="J210" s="1"/>
    </row>
    <row r="211" spans="1:10" ht="14.15" customHeight="1" x14ac:dyDescent="0.4">
      <c r="A211" s="44" t="s">
        <v>200</v>
      </c>
      <c r="B211" s="2" t="s">
        <v>741</v>
      </c>
      <c r="C211" s="2" t="s">
        <v>742</v>
      </c>
      <c r="D211" s="43" t="s">
        <v>7</v>
      </c>
      <c r="E211" s="2" t="s">
        <v>7</v>
      </c>
      <c r="F211" s="8">
        <v>1172152.2490000001</v>
      </c>
      <c r="G211" s="8">
        <v>210894.9191729195</v>
      </c>
      <c r="H211" s="3">
        <v>17.992109758168411</v>
      </c>
      <c r="I211" s="58">
        <v>0.12169589988043961</v>
      </c>
      <c r="J211" s="1"/>
    </row>
    <row r="212" spans="1:10" ht="14.15" customHeight="1" x14ac:dyDescent="0.4">
      <c r="A212" s="44" t="s">
        <v>208</v>
      </c>
      <c r="B212" s="2" t="s">
        <v>743</v>
      </c>
      <c r="C212" s="2" t="s">
        <v>744</v>
      </c>
      <c r="D212" s="43" t="s">
        <v>21</v>
      </c>
      <c r="E212" s="2" t="s">
        <v>21</v>
      </c>
      <c r="F212" s="8">
        <v>2644171.1979999999</v>
      </c>
      <c r="G212" s="8">
        <v>650362.44035003486</v>
      </c>
      <c r="H212" s="3">
        <v>24.596079135948401</v>
      </c>
      <c r="I212" s="58">
        <v>0.37528852158804971</v>
      </c>
      <c r="J212" s="1"/>
    </row>
    <row r="213" spans="1:10" ht="14.15" customHeight="1" x14ac:dyDescent="0.4">
      <c r="A213" s="44" t="s">
        <v>145</v>
      </c>
      <c r="B213" s="2" t="s">
        <v>745</v>
      </c>
      <c r="C213" s="2" t="s">
        <v>746</v>
      </c>
      <c r="D213" s="43" t="s">
        <v>10</v>
      </c>
      <c r="E213" s="2" t="s">
        <v>10</v>
      </c>
      <c r="F213" s="8">
        <v>941752.18700000003</v>
      </c>
      <c r="G213" s="8">
        <v>31081.821888385301</v>
      </c>
      <c r="H213" s="3">
        <v>3.300424710177531</v>
      </c>
      <c r="I213" s="58">
        <v>1.7935615990488488E-2</v>
      </c>
      <c r="J213" s="1"/>
    </row>
    <row r="214" spans="1:10" ht="14.15" customHeight="1" x14ac:dyDescent="0.4">
      <c r="A214" s="44" t="s">
        <v>145</v>
      </c>
      <c r="B214" s="2" t="s">
        <v>747</v>
      </c>
      <c r="C214" s="2" t="s">
        <v>748</v>
      </c>
      <c r="D214" s="43" t="s">
        <v>10</v>
      </c>
      <c r="E214" s="2" t="s">
        <v>10</v>
      </c>
      <c r="F214" s="8">
        <v>521960.22200000001</v>
      </c>
      <c r="G214" s="8">
        <v>24044.769729863008</v>
      </c>
      <c r="H214" s="3">
        <v>4.6066287652592433</v>
      </c>
      <c r="I214" s="58">
        <v>1.3874918851384879E-2</v>
      </c>
      <c r="J214" s="1"/>
    </row>
    <row r="215" spans="1:10" ht="14.15" customHeight="1" x14ac:dyDescent="0.4">
      <c r="A215" s="44" t="s">
        <v>256</v>
      </c>
      <c r="B215" s="2" t="s">
        <v>749</v>
      </c>
      <c r="C215" s="2" t="s">
        <v>750</v>
      </c>
      <c r="D215" s="43" t="s">
        <v>12</v>
      </c>
      <c r="E215" s="2" t="s">
        <v>10</v>
      </c>
      <c r="F215" s="8">
        <v>1908.9960000000001</v>
      </c>
      <c r="G215" s="8">
        <v>1297.4148860909861</v>
      </c>
      <c r="H215" s="3">
        <v>67.963206108917234</v>
      </c>
      <c r="I215" s="58">
        <v>7.4866702668953985E-4</v>
      </c>
      <c r="J215" s="1"/>
    </row>
    <row r="216" spans="1:10" ht="14.15" customHeight="1" x14ac:dyDescent="0.4">
      <c r="A216" s="44" t="s">
        <v>176</v>
      </c>
      <c r="B216" s="2" t="s">
        <v>751</v>
      </c>
      <c r="C216" s="2" t="s">
        <v>752</v>
      </c>
      <c r="D216" s="43" t="s">
        <v>10</v>
      </c>
      <c r="E216" s="2" t="s">
        <v>10</v>
      </c>
      <c r="F216" s="8">
        <v>276572.97700000001</v>
      </c>
      <c r="G216" s="8">
        <v>58333.559434944793</v>
      </c>
      <c r="H216" s="3">
        <v>21.091561463340209</v>
      </c>
      <c r="I216" s="58">
        <v>3.3661100212869763E-2</v>
      </c>
      <c r="J216" s="1"/>
    </row>
    <row r="217" spans="1:10" ht="14.15" customHeight="1" x14ac:dyDescent="0.4">
      <c r="A217" s="44" t="s">
        <v>238</v>
      </c>
      <c r="B217" s="2" t="s">
        <v>753</v>
      </c>
      <c r="C217" s="2" t="s">
        <v>754</v>
      </c>
      <c r="D217" s="43" t="s">
        <v>1209</v>
      </c>
      <c r="E217" s="2" t="s">
        <v>412</v>
      </c>
      <c r="F217" s="8">
        <v>2391719.142</v>
      </c>
      <c r="G217" s="8">
        <v>1335532.379505472</v>
      </c>
      <c r="H217" s="3">
        <v>55.839849924380097</v>
      </c>
      <c r="I217" s="58">
        <v>0.77066254313182614</v>
      </c>
      <c r="J217" s="1"/>
    </row>
    <row r="218" spans="1:10" ht="14.15" customHeight="1" x14ac:dyDescent="0.4">
      <c r="A218" s="44" t="s">
        <v>242</v>
      </c>
      <c r="B218" s="2" t="s">
        <v>755</v>
      </c>
      <c r="C218" s="2" t="s">
        <v>756</v>
      </c>
      <c r="D218" s="43" t="s">
        <v>10</v>
      </c>
      <c r="E218" s="2" t="s">
        <v>10</v>
      </c>
      <c r="F218" s="8">
        <v>3938809.037</v>
      </c>
      <c r="G218" s="8">
        <v>30491.681259260629</v>
      </c>
      <c r="H218" s="3">
        <v>0.77413454099528167</v>
      </c>
      <c r="I218" s="58">
        <v>1.7595078175737008E-2</v>
      </c>
      <c r="J218" s="1"/>
    </row>
    <row r="219" spans="1:10" ht="14.15" customHeight="1" x14ac:dyDescent="0.4">
      <c r="A219" s="44" t="s">
        <v>246</v>
      </c>
      <c r="B219" s="2" t="s">
        <v>757</v>
      </c>
      <c r="C219" s="2" t="s">
        <v>758</v>
      </c>
      <c r="D219" s="43" t="s">
        <v>35</v>
      </c>
      <c r="E219" s="2" t="s">
        <v>35</v>
      </c>
      <c r="F219" s="8">
        <v>731655.88600000006</v>
      </c>
      <c r="G219" s="8">
        <v>30602.202768609812</v>
      </c>
      <c r="H219" s="3">
        <v>4.1825950360235069</v>
      </c>
      <c r="I219" s="58">
        <v>1.7658854081714932E-2</v>
      </c>
      <c r="J219" s="1"/>
    </row>
    <row r="220" spans="1:10" ht="14.15" customHeight="1" x14ac:dyDescent="0.4">
      <c r="A220" s="44" t="s">
        <v>308</v>
      </c>
      <c r="B220" s="2" t="s">
        <v>759</v>
      </c>
      <c r="C220" s="2" t="s">
        <v>760</v>
      </c>
      <c r="D220" s="43" t="s">
        <v>29</v>
      </c>
      <c r="E220" s="2" t="s">
        <v>29</v>
      </c>
      <c r="F220" s="8">
        <v>112651.859</v>
      </c>
      <c r="G220" s="8">
        <v>63983.633721359627</v>
      </c>
      <c r="H220" s="3">
        <v>56.797672305931172</v>
      </c>
      <c r="I220" s="58">
        <v>3.6921448434501437E-2</v>
      </c>
      <c r="J220" s="1"/>
    </row>
    <row r="221" spans="1:10" ht="14.15" customHeight="1" x14ac:dyDescent="0.4">
      <c r="A221" s="44" t="s">
        <v>204</v>
      </c>
      <c r="B221" s="2" t="s">
        <v>761</v>
      </c>
      <c r="C221" s="2" t="s">
        <v>762</v>
      </c>
      <c r="D221" s="43" t="s">
        <v>1216</v>
      </c>
      <c r="E221" s="2" t="s">
        <v>707</v>
      </c>
      <c r="F221" s="8">
        <v>25698395.16</v>
      </c>
      <c r="G221" s="8">
        <v>14105635.218525359</v>
      </c>
      <c r="H221" s="3">
        <v>54.889167711457027</v>
      </c>
      <c r="I221" s="58">
        <v>8.1395890334189165</v>
      </c>
      <c r="J221" s="1"/>
    </row>
    <row r="222" spans="1:10" ht="14.15" customHeight="1" x14ac:dyDescent="0.4">
      <c r="A222" s="44" t="s">
        <v>240</v>
      </c>
      <c r="B222" s="2" t="s">
        <v>763</v>
      </c>
      <c r="C222" s="2" t="s">
        <v>764</v>
      </c>
      <c r="D222" s="43" t="s">
        <v>10</v>
      </c>
      <c r="E222" s="2" t="s">
        <v>10</v>
      </c>
      <c r="F222" s="8">
        <v>153349.147</v>
      </c>
      <c r="G222" s="8">
        <v>117824.0419251354</v>
      </c>
      <c r="H222" s="3">
        <v>76.833842398311731</v>
      </c>
      <c r="I222" s="58">
        <v>6.7989797316421963E-2</v>
      </c>
      <c r="J222" s="1"/>
    </row>
    <row r="223" spans="1:10" ht="14.15" customHeight="1" x14ac:dyDescent="0.4">
      <c r="A223" s="44" t="s">
        <v>240</v>
      </c>
      <c r="B223" s="2" t="s">
        <v>765</v>
      </c>
      <c r="C223" s="2" t="s">
        <v>766</v>
      </c>
      <c r="D223" s="43" t="s">
        <v>10</v>
      </c>
      <c r="E223" s="2" t="s">
        <v>10</v>
      </c>
      <c r="F223" s="8">
        <v>729170.48699999996</v>
      </c>
      <c r="G223" s="8">
        <v>110265.3157066328</v>
      </c>
      <c r="H223" s="3">
        <v>15.12202121074503</v>
      </c>
      <c r="I223" s="58">
        <v>6.3628070667349323E-2</v>
      </c>
      <c r="J223" s="1"/>
    </row>
    <row r="224" spans="1:10" ht="14.15" customHeight="1" x14ac:dyDescent="0.4">
      <c r="A224" s="44" t="s">
        <v>280</v>
      </c>
      <c r="B224" s="2" t="s">
        <v>767</v>
      </c>
      <c r="C224" s="2" t="s">
        <v>768</v>
      </c>
      <c r="D224" s="43" t="s">
        <v>12</v>
      </c>
      <c r="E224" s="2" t="s">
        <v>170</v>
      </c>
      <c r="F224" s="8">
        <v>12400.066999999999</v>
      </c>
      <c r="G224" s="8">
        <v>0</v>
      </c>
      <c r="H224" s="3">
        <v>0</v>
      </c>
      <c r="I224" s="58">
        <v>0</v>
      </c>
      <c r="J224" s="1"/>
    </row>
    <row r="225" spans="1:10" ht="14.15" customHeight="1" x14ac:dyDescent="0.4">
      <c r="A225" s="44" t="s">
        <v>276</v>
      </c>
      <c r="B225" s="2" t="s">
        <v>769</v>
      </c>
      <c r="C225" s="2" t="s">
        <v>770</v>
      </c>
      <c r="D225" s="43" t="s">
        <v>35</v>
      </c>
      <c r="E225" s="2" t="s">
        <v>35</v>
      </c>
      <c r="F225" s="8">
        <v>693281.97100000002</v>
      </c>
      <c r="G225" s="8">
        <v>23145.392694551261</v>
      </c>
      <c r="H225" s="3">
        <v>3.3385251113866432</v>
      </c>
      <c r="I225" s="58">
        <v>1.33559376541455E-2</v>
      </c>
      <c r="J225" s="1"/>
    </row>
    <row r="226" spans="1:10" ht="14.15" customHeight="1" x14ac:dyDescent="0.4">
      <c r="A226" s="44" t="s">
        <v>135</v>
      </c>
      <c r="B226" s="2" t="s">
        <v>771</v>
      </c>
      <c r="C226" s="2" t="s">
        <v>772</v>
      </c>
      <c r="D226" s="43" t="s">
        <v>21</v>
      </c>
      <c r="E226" s="2" t="s">
        <v>21</v>
      </c>
      <c r="F226" s="8">
        <v>1267401.196</v>
      </c>
      <c r="G226" s="8">
        <v>763111.18234131846</v>
      </c>
      <c r="H226" s="3">
        <v>60.210703978325618</v>
      </c>
      <c r="I226" s="58">
        <v>0.44034964146152761</v>
      </c>
      <c r="J226" s="1"/>
    </row>
    <row r="227" spans="1:10" ht="14.15" customHeight="1" x14ac:dyDescent="0.4">
      <c r="A227" s="44" t="s">
        <v>159</v>
      </c>
      <c r="B227" s="2" t="s">
        <v>773</v>
      </c>
      <c r="C227" s="2" t="s">
        <v>774</v>
      </c>
      <c r="D227" s="43" t="s">
        <v>29</v>
      </c>
      <c r="E227" s="2" t="s">
        <v>29</v>
      </c>
      <c r="F227" s="8">
        <v>67884.884999999995</v>
      </c>
      <c r="G227" s="8">
        <v>13979.96153889067</v>
      </c>
      <c r="H227" s="3">
        <v>20.593629257662691</v>
      </c>
      <c r="I227" s="58">
        <v>8.0670696403751727E-3</v>
      </c>
      <c r="J227" s="1"/>
    </row>
    <row r="228" spans="1:10" ht="14.15" customHeight="1" x14ac:dyDescent="0.4">
      <c r="A228" s="44" t="s">
        <v>133</v>
      </c>
      <c r="B228" s="2" t="s">
        <v>775</v>
      </c>
      <c r="C228" s="2" t="s">
        <v>776</v>
      </c>
      <c r="D228" s="43" t="s">
        <v>21</v>
      </c>
      <c r="E228" s="2" t="s">
        <v>21</v>
      </c>
      <c r="F228" s="8">
        <v>1741375.629</v>
      </c>
      <c r="G228" s="8">
        <v>763767.78838637564</v>
      </c>
      <c r="H228" s="3">
        <v>43.860025124216072</v>
      </c>
      <c r="I228" s="58">
        <v>0.44072853282521501</v>
      </c>
      <c r="J228" s="1"/>
    </row>
    <row r="229" spans="1:10" ht="14.15" customHeight="1" x14ac:dyDescent="0.4">
      <c r="A229" s="44" t="s">
        <v>161</v>
      </c>
      <c r="B229" s="2" t="s">
        <v>777</v>
      </c>
      <c r="C229" s="2" t="s">
        <v>778</v>
      </c>
      <c r="D229" s="43" t="s">
        <v>1221</v>
      </c>
      <c r="E229" s="2" t="s">
        <v>779</v>
      </c>
      <c r="F229" s="8">
        <v>9214685.3479999993</v>
      </c>
      <c r="G229" s="8">
        <v>7776407.1941744592</v>
      </c>
      <c r="H229" s="3">
        <v>84.391456685629407</v>
      </c>
      <c r="I229" s="58">
        <v>4.4873384102527218</v>
      </c>
      <c r="J229" s="1"/>
    </row>
    <row r="230" spans="1:10" ht="14.15" customHeight="1" x14ac:dyDescent="0.4">
      <c r="A230" s="44" t="s">
        <v>206</v>
      </c>
      <c r="B230" s="2" t="s">
        <v>780</v>
      </c>
      <c r="C230" s="2" t="s">
        <v>781</v>
      </c>
      <c r="D230" s="43" t="s">
        <v>1210</v>
      </c>
      <c r="E230" s="2" t="s">
        <v>460</v>
      </c>
      <c r="F230" s="8">
        <v>11460762.355</v>
      </c>
      <c r="G230" s="8">
        <v>6461146.7503705919</v>
      </c>
      <c r="H230" s="3">
        <v>56.376238772212041</v>
      </c>
      <c r="I230" s="58">
        <v>3.728373690222563</v>
      </c>
      <c r="J230" s="1"/>
    </row>
    <row r="231" spans="1:10" ht="14.15" customHeight="1" x14ac:dyDescent="0.4">
      <c r="A231" s="44" t="s">
        <v>167</v>
      </c>
      <c r="B231" s="2" t="s">
        <v>782</v>
      </c>
      <c r="C231" s="2" t="s">
        <v>783</v>
      </c>
      <c r="D231" s="43" t="s">
        <v>7</v>
      </c>
      <c r="E231" s="2" t="s">
        <v>7</v>
      </c>
      <c r="F231" s="8">
        <v>1843124.821</v>
      </c>
      <c r="G231" s="8">
        <v>1440722.811964337</v>
      </c>
      <c r="H231" s="3">
        <v>78.167403289738274</v>
      </c>
      <c r="I231" s="58">
        <v>0.83136217680293456</v>
      </c>
      <c r="J231" s="1"/>
    </row>
    <row r="232" spans="1:10" ht="14.15" customHeight="1" x14ac:dyDescent="0.4">
      <c r="A232" s="44" t="s">
        <v>143</v>
      </c>
      <c r="B232" s="2" t="s">
        <v>784</v>
      </c>
      <c r="C232" s="2" t="s">
        <v>785</v>
      </c>
      <c r="D232" s="43" t="s">
        <v>29</v>
      </c>
      <c r="E232" s="2" t="s">
        <v>29</v>
      </c>
      <c r="F232" s="8">
        <v>1250610.642</v>
      </c>
      <c r="G232" s="8">
        <v>42283.866349444666</v>
      </c>
      <c r="H232" s="3">
        <v>3.381057615328102</v>
      </c>
      <c r="I232" s="58">
        <v>2.4399701927388402E-2</v>
      </c>
      <c r="J232" s="1"/>
    </row>
    <row r="233" spans="1:10" ht="14.15" customHeight="1" x14ac:dyDescent="0.4">
      <c r="A233" s="44" t="s">
        <v>210</v>
      </c>
      <c r="B233" s="2" t="s">
        <v>786</v>
      </c>
      <c r="C233" s="2" t="s">
        <v>787</v>
      </c>
      <c r="D233" s="43" t="s">
        <v>1211</v>
      </c>
      <c r="E233" s="2" t="s">
        <v>359</v>
      </c>
      <c r="F233" s="8">
        <v>9330937.7860000003</v>
      </c>
      <c r="G233" s="8">
        <v>2517148.7318387111</v>
      </c>
      <c r="H233" s="3">
        <v>26.976374610657071</v>
      </c>
      <c r="I233" s="58">
        <v>1.4525085822615389</v>
      </c>
      <c r="J233" s="1"/>
    </row>
    <row r="234" spans="1:10" ht="14.15" customHeight="1" x14ac:dyDescent="0.4">
      <c r="A234" s="44" t="s">
        <v>226</v>
      </c>
      <c r="B234" s="2" t="s">
        <v>788</v>
      </c>
      <c r="C234" s="2" t="s">
        <v>789</v>
      </c>
      <c r="D234" s="43" t="s">
        <v>21</v>
      </c>
      <c r="E234" s="2" t="s">
        <v>21</v>
      </c>
      <c r="F234" s="8">
        <v>1483958.9990000001</v>
      </c>
      <c r="G234" s="8">
        <v>399025.27255099447</v>
      </c>
      <c r="H234" s="3">
        <v>26.889238369785609</v>
      </c>
      <c r="I234" s="58">
        <v>0.23025561643955611</v>
      </c>
      <c r="J234" s="1"/>
    </row>
    <row r="235" spans="1:10" ht="14.15" customHeight="1" x14ac:dyDescent="0.4">
      <c r="A235" s="44" t="s">
        <v>204</v>
      </c>
      <c r="B235" s="2" t="s">
        <v>790</v>
      </c>
      <c r="C235" s="2" t="s">
        <v>791</v>
      </c>
      <c r="D235" s="43" t="s">
        <v>7</v>
      </c>
      <c r="E235" s="2" t="s">
        <v>7</v>
      </c>
      <c r="F235" s="8">
        <v>12316754.346000001</v>
      </c>
      <c r="G235" s="8">
        <v>4781672.5309275053</v>
      </c>
      <c r="H235" s="3">
        <v>38.822504668045163</v>
      </c>
      <c r="I235" s="58">
        <v>2.7592411607966478</v>
      </c>
      <c r="J235" s="1"/>
    </row>
    <row r="236" spans="1:10" ht="14.15" customHeight="1" x14ac:dyDescent="0.4">
      <c r="A236" s="44" t="s">
        <v>176</v>
      </c>
      <c r="B236" s="2" t="s">
        <v>792</v>
      </c>
      <c r="C236" s="2" t="s">
        <v>793</v>
      </c>
      <c r="D236" s="43" t="s">
        <v>10</v>
      </c>
      <c r="E236" s="2" t="s">
        <v>10</v>
      </c>
      <c r="F236" s="8">
        <v>653934.86800000002</v>
      </c>
      <c r="G236" s="8">
        <v>43920.727900658298</v>
      </c>
      <c r="H236" s="3">
        <v>6.7163765154450061</v>
      </c>
      <c r="I236" s="58">
        <v>2.534424502134178E-2</v>
      </c>
      <c r="J236" s="1"/>
    </row>
    <row r="237" spans="1:10" ht="14.15" customHeight="1" x14ac:dyDescent="0.4">
      <c r="A237" s="44" t="s">
        <v>139</v>
      </c>
      <c r="B237" s="2" t="s">
        <v>794</v>
      </c>
      <c r="C237" s="2" t="s">
        <v>795</v>
      </c>
      <c r="D237" s="43" t="s">
        <v>7</v>
      </c>
      <c r="E237" s="2" t="s">
        <v>7</v>
      </c>
      <c r="F237" s="8">
        <v>6524174.9069999997</v>
      </c>
      <c r="G237" s="8">
        <v>365437.27902335109</v>
      </c>
      <c r="H237" s="3">
        <v>5.6012796136299396</v>
      </c>
      <c r="I237" s="58">
        <v>0.21087382614534109</v>
      </c>
      <c r="J237" s="1"/>
    </row>
    <row r="238" spans="1:10" ht="14.15" customHeight="1" x14ac:dyDescent="0.4">
      <c r="A238" s="44" t="s">
        <v>250</v>
      </c>
      <c r="B238" s="2" t="s">
        <v>796</v>
      </c>
      <c r="C238" s="2" t="s">
        <v>797</v>
      </c>
      <c r="D238" s="43" t="s">
        <v>7</v>
      </c>
      <c r="E238" s="2" t="s">
        <v>7</v>
      </c>
      <c r="F238" s="8">
        <v>5970915.4100000001</v>
      </c>
      <c r="G238" s="8">
        <v>3611664.938514166</v>
      </c>
      <c r="H238" s="3">
        <v>60.487625272088152</v>
      </c>
      <c r="I238" s="58">
        <v>2.084093900805327</v>
      </c>
      <c r="J238" s="1"/>
    </row>
    <row r="239" spans="1:10" ht="14.15" customHeight="1" x14ac:dyDescent="0.4">
      <c r="A239" s="44" t="s">
        <v>212</v>
      </c>
      <c r="B239" s="2" t="s">
        <v>798</v>
      </c>
      <c r="C239" s="2" t="s">
        <v>799</v>
      </c>
      <c r="D239" s="43" t="s">
        <v>29</v>
      </c>
      <c r="E239" s="2" t="s">
        <v>29</v>
      </c>
      <c r="F239" s="8">
        <v>5262816.1050000004</v>
      </c>
      <c r="G239" s="8">
        <v>609256.8927376077</v>
      </c>
      <c r="H239" s="3">
        <v>11.57663274912411</v>
      </c>
      <c r="I239" s="58">
        <v>0.35156876282671612</v>
      </c>
      <c r="J239" s="1"/>
    </row>
    <row r="240" spans="1:10" ht="14.15" customHeight="1" x14ac:dyDescent="0.4">
      <c r="A240" s="44" t="s">
        <v>270</v>
      </c>
      <c r="B240" s="2" t="s">
        <v>800</v>
      </c>
      <c r="C240" s="2" t="s">
        <v>801</v>
      </c>
      <c r="D240" s="43" t="s">
        <v>1222</v>
      </c>
      <c r="E240" s="2" t="s">
        <v>568</v>
      </c>
      <c r="F240" s="8">
        <v>1267547.429</v>
      </c>
      <c r="G240" s="8">
        <v>109923.1695827239</v>
      </c>
      <c r="H240" s="3">
        <v>8.6721149100862505</v>
      </c>
      <c r="I240" s="58">
        <v>6.3430636890362241E-2</v>
      </c>
      <c r="J240" s="1"/>
    </row>
    <row r="241" spans="1:10" ht="14.15" customHeight="1" x14ac:dyDescent="0.4">
      <c r="A241" s="44" t="s">
        <v>145</v>
      </c>
      <c r="B241" s="2" t="s">
        <v>803</v>
      </c>
      <c r="C241" s="2" t="s">
        <v>804</v>
      </c>
      <c r="D241" s="43" t="s">
        <v>1213</v>
      </c>
      <c r="E241" s="2" t="s">
        <v>29</v>
      </c>
      <c r="F241" s="8">
        <v>765232.71700000006</v>
      </c>
      <c r="G241" s="8">
        <v>557.96622082144677</v>
      </c>
      <c r="H241" s="3">
        <v>7.2914579895235546E-2</v>
      </c>
      <c r="I241" s="58">
        <v>3.2197172701955339E-4</v>
      </c>
      <c r="J241" s="1"/>
    </row>
    <row r="242" spans="1:10" ht="14.15" customHeight="1" x14ac:dyDescent="0.4">
      <c r="A242" s="44" t="s">
        <v>145</v>
      </c>
      <c r="B242" s="2" t="s">
        <v>805</v>
      </c>
      <c r="C242" s="2" t="s">
        <v>806</v>
      </c>
      <c r="D242" s="43" t="s">
        <v>29</v>
      </c>
      <c r="E242" s="2" t="s">
        <v>29</v>
      </c>
      <c r="F242" s="8">
        <v>750660.55</v>
      </c>
      <c r="G242" s="8">
        <v>9345.2173764825675</v>
      </c>
      <c r="H242" s="3">
        <v>1.244932529954127</v>
      </c>
      <c r="I242" s="58">
        <v>5.3926127887266861E-3</v>
      </c>
      <c r="J242" s="1"/>
    </row>
    <row r="243" spans="1:10" ht="14.15" customHeight="1" x14ac:dyDescent="0.4">
      <c r="A243" s="44" t="s">
        <v>147</v>
      </c>
      <c r="B243" s="2" t="s">
        <v>807</v>
      </c>
      <c r="C243" s="2" t="s">
        <v>808</v>
      </c>
      <c r="D243" s="43" t="s">
        <v>10</v>
      </c>
      <c r="E243" s="2" t="s">
        <v>10</v>
      </c>
      <c r="F243" s="8">
        <v>630693.93400000001</v>
      </c>
      <c r="G243" s="8">
        <v>124924.6812162471</v>
      </c>
      <c r="H243" s="3">
        <v>19.807496866815761</v>
      </c>
      <c r="I243" s="58">
        <v>7.2087187104886818E-2</v>
      </c>
      <c r="J243" s="1"/>
    </row>
    <row r="244" spans="1:10" ht="14.15" customHeight="1" x14ac:dyDescent="0.4">
      <c r="A244" s="44" t="s">
        <v>248</v>
      </c>
      <c r="B244" s="2" t="s">
        <v>809</v>
      </c>
      <c r="C244" s="2" t="s">
        <v>810</v>
      </c>
      <c r="D244" s="43" t="s">
        <v>10</v>
      </c>
      <c r="E244" s="2" t="s">
        <v>10</v>
      </c>
      <c r="F244" s="8">
        <v>117460.933</v>
      </c>
      <c r="G244" s="8">
        <v>6860.335368079388</v>
      </c>
      <c r="H244" s="3">
        <v>5.8405251796181359</v>
      </c>
      <c r="I244" s="58">
        <v>3.9587235642006488E-3</v>
      </c>
      <c r="J244" s="1"/>
    </row>
    <row r="245" spans="1:10" ht="14.15" customHeight="1" x14ac:dyDescent="0.4">
      <c r="A245" s="44" t="s">
        <v>272</v>
      </c>
      <c r="B245" s="2" t="s">
        <v>811</v>
      </c>
      <c r="C245" s="2" t="s">
        <v>812</v>
      </c>
      <c r="D245" s="43" t="s">
        <v>29</v>
      </c>
      <c r="E245" s="2" t="s">
        <v>29</v>
      </c>
      <c r="F245" s="8">
        <v>784968.84299999999</v>
      </c>
      <c r="G245" s="8">
        <v>32000.37583374383</v>
      </c>
      <c r="H245" s="3">
        <v>4.0766428016995624</v>
      </c>
      <c r="I245" s="58">
        <v>1.846566313153639E-2</v>
      </c>
      <c r="J245" s="1"/>
    </row>
    <row r="246" spans="1:10" ht="14.15" customHeight="1" x14ac:dyDescent="0.4">
      <c r="A246" s="44" t="s">
        <v>284</v>
      </c>
      <c r="B246" s="2" t="s">
        <v>813</v>
      </c>
      <c r="C246" s="2" t="s">
        <v>814</v>
      </c>
      <c r="D246" s="43" t="s">
        <v>10</v>
      </c>
      <c r="E246" s="2" t="s">
        <v>10</v>
      </c>
      <c r="F246" s="8">
        <v>96902.653999999995</v>
      </c>
      <c r="G246" s="8">
        <v>20491.990237172889</v>
      </c>
      <c r="H246" s="3">
        <v>21.14698554816971</v>
      </c>
      <c r="I246" s="58">
        <v>1.182480451418177E-2</v>
      </c>
      <c r="J246" s="1"/>
    </row>
    <row r="247" spans="1:10" ht="14.15" customHeight="1" x14ac:dyDescent="0.4">
      <c r="A247" s="44" t="s">
        <v>149</v>
      </c>
      <c r="B247" s="2" t="s">
        <v>815</v>
      </c>
      <c r="C247" s="2" t="s">
        <v>816</v>
      </c>
      <c r="D247" s="43" t="s">
        <v>21</v>
      </c>
      <c r="E247" s="2" t="s">
        <v>170</v>
      </c>
      <c r="F247" s="8">
        <v>390980.68</v>
      </c>
      <c r="G247" s="8">
        <v>0</v>
      </c>
      <c r="H247" s="3">
        <v>0</v>
      </c>
      <c r="I247" s="58">
        <v>0</v>
      </c>
      <c r="J247" s="1"/>
    </row>
    <row r="248" spans="1:10" ht="14.15" customHeight="1" x14ac:dyDescent="0.4">
      <c r="A248" s="44" t="s">
        <v>157</v>
      </c>
      <c r="B248" s="2" t="s">
        <v>817</v>
      </c>
      <c r="C248" s="2" t="s">
        <v>818</v>
      </c>
      <c r="D248" s="43" t="s">
        <v>7</v>
      </c>
      <c r="E248" s="2" t="s">
        <v>7</v>
      </c>
      <c r="F248" s="8">
        <v>953660.52500000002</v>
      </c>
      <c r="G248" s="8">
        <v>216954.02403418531</v>
      </c>
      <c r="H248" s="3">
        <v>22.749607260317848</v>
      </c>
      <c r="I248" s="58">
        <v>0.12519227723013329</v>
      </c>
      <c r="J248" s="1"/>
    </row>
    <row r="249" spans="1:10" ht="14.15" customHeight="1" x14ac:dyDescent="0.4">
      <c r="A249" s="44" t="s">
        <v>274</v>
      </c>
      <c r="B249" s="2" t="s">
        <v>819</v>
      </c>
      <c r="C249" s="2" t="s">
        <v>820</v>
      </c>
      <c r="D249" s="43" t="s">
        <v>35</v>
      </c>
      <c r="E249" s="2" t="s">
        <v>35</v>
      </c>
      <c r="F249" s="8">
        <v>84193.678</v>
      </c>
      <c r="G249" s="8">
        <v>2536.3273988584492</v>
      </c>
      <c r="H249" s="3">
        <v>3.0124915066169802</v>
      </c>
      <c r="I249" s="58">
        <v>1.463575539922859E-3</v>
      </c>
      <c r="J249" s="1"/>
    </row>
    <row r="250" spans="1:10" ht="14.15" customHeight="1" x14ac:dyDescent="0.4">
      <c r="A250" s="44" t="s">
        <v>232</v>
      </c>
      <c r="B250" s="2" t="s">
        <v>821</v>
      </c>
      <c r="C250" s="2" t="s">
        <v>822</v>
      </c>
      <c r="D250" s="43" t="s">
        <v>29</v>
      </c>
      <c r="E250" s="2" t="s">
        <v>29</v>
      </c>
      <c r="F250" s="8">
        <v>4641851.3569999998</v>
      </c>
      <c r="G250" s="8">
        <v>196833.43681878381</v>
      </c>
      <c r="H250" s="3">
        <v>4.2404080113844058</v>
      </c>
      <c r="I250" s="58">
        <v>0.11358178904528771</v>
      </c>
      <c r="J250" s="1"/>
    </row>
    <row r="251" spans="1:10" ht="14.15" customHeight="1" x14ac:dyDescent="0.4">
      <c r="A251" s="44" t="s">
        <v>192</v>
      </c>
      <c r="B251" s="2" t="s">
        <v>823</v>
      </c>
      <c r="C251" s="2" t="s">
        <v>824</v>
      </c>
      <c r="D251" s="43" t="s">
        <v>35</v>
      </c>
      <c r="E251" s="2" t="s">
        <v>35</v>
      </c>
      <c r="F251" s="8">
        <v>300580.33100000001</v>
      </c>
      <c r="G251" s="8">
        <v>17530.121386720319</v>
      </c>
      <c r="H251" s="3">
        <v>5.8320919829981559</v>
      </c>
      <c r="I251" s="58">
        <v>1.0115672324097441E-2</v>
      </c>
      <c r="J251" s="1"/>
    </row>
    <row r="252" spans="1:10" ht="14.15" customHeight="1" x14ac:dyDescent="0.4">
      <c r="A252" s="44" t="s">
        <v>145</v>
      </c>
      <c r="B252" s="2" t="s">
        <v>825</v>
      </c>
      <c r="C252" s="2" t="s">
        <v>826</v>
      </c>
      <c r="D252" s="43" t="s">
        <v>29</v>
      </c>
      <c r="E252" s="2" t="s">
        <v>29</v>
      </c>
      <c r="F252" s="8">
        <v>1275969.936</v>
      </c>
      <c r="G252" s="8">
        <v>19353.302571677021</v>
      </c>
      <c r="H252" s="3">
        <v>1.516752238876969</v>
      </c>
      <c r="I252" s="58">
        <v>1.116773026754401E-2</v>
      </c>
      <c r="J252" s="1"/>
    </row>
    <row r="253" spans="1:10" ht="14.15" customHeight="1" x14ac:dyDescent="0.4">
      <c r="A253" s="44" t="s">
        <v>240</v>
      </c>
      <c r="B253" s="2" t="s">
        <v>827</v>
      </c>
      <c r="C253" s="2" t="s">
        <v>828</v>
      </c>
      <c r="D253" s="43" t="s">
        <v>10</v>
      </c>
      <c r="E253" s="2" t="s">
        <v>10</v>
      </c>
      <c r="F253" s="8">
        <v>400915.603</v>
      </c>
      <c r="G253" s="8">
        <v>82335.609496271005</v>
      </c>
      <c r="H253" s="3">
        <v>20.536893271342951</v>
      </c>
      <c r="I253" s="58">
        <v>4.7511367884768833E-2</v>
      </c>
      <c r="J253" s="1"/>
    </row>
    <row r="254" spans="1:10" ht="14.15" customHeight="1" x14ac:dyDescent="0.4">
      <c r="A254" s="44" t="s">
        <v>133</v>
      </c>
      <c r="B254" s="2" t="s">
        <v>829</v>
      </c>
      <c r="C254" s="2" t="s">
        <v>830</v>
      </c>
      <c r="D254" s="43" t="s">
        <v>21</v>
      </c>
      <c r="E254" s="2" t="s">
        <v>170</v>
      </c>
      <c r="F254" s="8">
        <v>113179.564</v>
      </c>
      <c r="G254" s="8">
        <v>0</v>
      </c>
      <c r="H254" s="3">
        <v>0</v>
      </c>
      <c r="I254" s="58">
        <v>0</v>
      </c>
      <c r="J254" s="1"/>
    </row>
    <row r="255" spans="1:10" ht="14.15" customHeight="1" x14ac:dyDescent="0.4">
      <c r="A255" s="44" t="s">
        <v>276</v>
      </c>
      <c r="B255" s="2" t="s">
        <v>831</v>
      </c>
      <c r="C255" s="2" t="s">
        <v>832</v>
      </c>
      <c r="D255" s="43" t="s">
        <v>35</v>
      </c>
      <c r="E255" s="2" t="s">
        <v>35</v>
      </c>
      <c r="F255" s="8">
        <v>2910385.1060000001</v>
      </c>
      <c r="G255" s="8">
        <v>63850.956674539077</v>
      </c>
      <c r="H255" s="3">
        <v>2.1939006127713152</v>
      </c>
      <c r="I255" s="58">
        <v>3.6844887782070228E-2</v>
      </c>
      <c r="J255" s="1"/>
    </row>
    <row r="256" spans="1:10" ht="14.15" customHeight="1" x14ac:dyDescent="0.4">
      <c r="A256" s="44" t="s">
        <v>262</v>
      </c>
      <c r="B256" s="2" t="s">
        <v>833</v>
      </c>
      <c r="C256" s="2" t="s">
        <v>834</v>
      </c>
      <c r="D256" s="43" t="s">
        <v>1214</v>
      </c>
      <c r="E256" s="2" t="s">
        <v>568</v>
      </c>
      <c r="F256" s="8">
        <v>1952398.9410000001</v>
      </c>
      <c r="G256" s="8">
        <v>114597.3441862386</v>
      </c>
      <c r="H256" s="3">
        <v>5.8695659877557054</v>
      </c>
      <c r="I256" s="58">
        <v>6.6127846888610758E-2</v>
      </c>
      <c r="J256" s="1"/>
    </row>
    <row r="257" spans="1:10" ht="14.15" customHeight="1" x14ac:dyDescent="0.4">
      <c r="A257" s="44" t="s">
        <v>238</v>
      </c>
      <c r="B257" s="2" t="s">
        <v>835</v>
      </c>
      <c r="C257" s="2" t="s">
        <v>836</v>
      </c>
      <c r="D257" s="43" t="s">
        <v>35</v>
      </c>
      <c r="E257" s="2" t="s">
        <v>35</v>
      </c>
      <c r="F257" s="8">
        <v>249190.77299999999</v>
      </c>
      <c r="G257" s="8">
        <v>42926.812342915851</v>
      </c>
      <c r="H257" s="3">
        <v>17.22648548584737</v>
      </c>
      <c r="I257" s="58">
        <v>2.477071082393676E-2</v>
      </c>
      <c r="J257" s="1"/>
    </row>
    <row r="258" spans="1:10" ht="14.15" customHeight="1" x14ac:dyDescent="0.4">
      <c r="A258" s="44" t="s">
        <v>238</v>
      </c>
      <c r="B258" s="2" t="s">
        <v>837</v>
      </c>
      <c r="C258" s="2" t="s">
        <v>838</v>
      </c>
      <c r="D258" s="43" t="s">
        <v>1209</v>
      </c>
      <c r="E258" s="2" t="s">
        <v>412</v>
      </c>
      <c r="F258" s="8">
        <v>5037595.9539999999</v>
      </c>
      <c r="G258" s="8">
        <v>574648.72550763318</v>
      </c>
      <c r="H258" s="3">
        <v>11.407201584941429</v>
      </c>
      <c r="I258" s="58">
        <v>0.33159828619891651</v>
      </c>
      <c r="J258" s="1"/>
    </row>
    <row r="259" spans="1:10" ht="14.15" customHeight="1" x14ac:dyDescent="0.4">
      <c r="A259" s="44" t="s">
        <v>262</v>
      </c>
      <c r="B259" s="2" t="s">
        <v>840</v>
      </c>
      <c r="C259" s="2" t="s">
        <v>841</v>
      </c>
      <c r="D259" s="43" t="s">
        <v>1223</v>
      </c>
      <c r="E259" s="2" t="s">
        <v>839</v>
      </c>
      <c r="F259" s="8">
        <v>375273.86800000002</v>
      </c>
      <c r="G259" s="8">
        <v>132330.86777780959</v>
      </c>
      <c r="H259" s="3">
        <v>35.262478702036788</v>
      </c>
      <c r="I259" s="58">
        <v>7.6360891477787185E-2</v>
      </c>
      <c r="J259" s="1"/>
    </row>
    <row r="260" spans="1:10" ht="14.15" customHeight="1" x14ac:dyDescent="0.4">
      <c r="A260" s="44" t="s">
        <v>270</v>
      </c>
      <c r="B260" s="2" t="s">
        <v>842</v>
      </c>
      <c r="C260" s="2" t="s">
        <v>843</v>
      </c>
      <c r="D260" s="43" t="s">
        <v>1215</v>
      </c>
      <c r="E260" s="2" t="s">
        <v>400</v>
      </c>
      <c r="F260" s="8">
        <v>630448.63100000005</v>
      </c>
      <c r="G260" s="8">
        <v>66256.977113419736</v>
      </c>
      <c r="H260" s="3">
        <v>10.509496548247681</v>
      </c>
      <c r="I260" s="58">
        <v>3.8233270316787603E-2</v>
      </c>
      <c r="J260" s="1"/>
    </row>
    <row r="261" spans="1:10" ht="14.15" customHeight="1" x14ac:dyDescent="0.4">
      <c r="A261" s="44" t="s">
        <v>262</v>
      </c>
      <c r="B261" s="2" t="s">
        <v>844</v>
      </c>
      <c r="C261" s="2" t="s">
        <v>845</v>
      </c>
      <c r="D261" s="43" t="s">
        <v>10</v>
      </c>
      <c r="E261" s="2" t="s">
        <v>10</v>
      </c>
      <c r="F261" s="8">
        <v>2946812.7370000002</v>
      </c>
      <c r="G261" s="8">
        <v>184187.98819628151</v>
      </c>
      <c r="H261" s="3">
        <v>6.2504137396865556</v>
      </c>
      <c r="I261" s="58">
        <v>0.1062847936717505</v>
      </c>
      <c r="J261" s="1"/>
    </row>
    <row r="262" spans="1:10" ht="14.15" customHeight="1" x14ac:dyDescent="0.4">
      <c r="A262" s="44" t="s">
        <v>198</v>
      </c>
      <c r="B262" s="2" t="s">
        <v>846</v>
      </c>
      <c r="C262" s="2" t="s">
        <v>847</v>
      </c>
      <c r="D262" s="43" t="s">
        <v>35</v>
      </c>
      <c r="E262" s="2" t="s">
        <v>35</v>
      </c>
      <c r="F262" s="8">
        <v>1088767.493</v>
      </c>
      <c r="G262" s="8">
        <v>113618.2644054783</v>
      </c>
      <c r="H262" s="3">
        <v>10.43549381626131</v>
      </c>
      <c r="I262" s="58">
        <v>6.556287360503596E-2</v>
      </c>
      <c r="J262" s="1"/>
    </row>
    <row r="263" spans="1:10" ht="14.15" customHeight="1" x14ac:dyDescent="0.4">
      <c r="A263" s="44" t="s">
        <v>244</v>
      </c>
      <c r="B263" s="2" t="s">
        <v>848</v>
      </c>
      <c r="C263" s="2" t="s">
        <v>849</v>
      </c>
      <c r="D263" s="43" t="s">
        <v>1213</v>
      </c>
      <c r="E263" s="2" t="s">
        <v>423</v>
      </c>
      <c r="F263" s="8">
        <v>962237.75699999998</v>
      </c>
      <c r="G263" s="8">
        <v>32874.165336171471</v>
      </c>
      <c r="H263" s="3">
        <v>3.4164285382714898</v>
      </c>
      <c r="I263" s="58">
        <v>1.8969879165858319E-2</v>
      </c>
      <c r="J263" s="1"/>
    </row>
    <row r="264" spans="1:10" ht="14.15" customHeight="1" x14ac:dyDescent="0.4">
      <c r="A264" s="44" t="s">
        <v>145</v>
      </c>
      <c r="B264" s="2" t="s">
        <v>850</v>
      </c>
      <c r="C264" s="2" t="s">
        <v>851</v>
      </c>
      <c r="D264" s="43" t="s">
        <v>1213</v>
      </c>
      <c r="E264" s="2" t="s">
        <v>10</v>
      </c>
      <c r="F264" s="8">
        <v>303753.652</v>
      </c>
      <c r="G264" s="8">
        <v>23109.439827379189</v>
      </c>
      <c r="H264" s="3">
        <v>7.6079545629229788</v>
      </c>
      <c r="I264" s="58">
        <v>1.3335191224876621E-2</v>
      </c>
      <c r="J264" s="1"/>
    </row>
    <row r="265" spans="1:10" ht="14.15" customHeight="1" x14ac:dyDescent="0.4">
      <c r="A265" s="44" t="s">
        <v>234</v>
      </c>
      <c r="B265" s="2" t="s">
        <v>852</v>
      </c>
      <c r="C265" s="2" t="s">
        <v>853</v>
      </c>
      <c r="D265" s="43" t="s">
        <v>1213</v>
      </c>
      <c r="E265" s="2" t="s">
        <v>423</v>
      </c>
      <c r="F265" s="8">
        <v>1898730.5719999999</v>
      </c>
      <c r="G265" s="8">
        <v>94943.294746688698</v>
      </c>
      <c r="H265" s="3">
        <v>5.0003563510688922</v>
      </c>
      <c r="I265" s="58">
        <v>5.4786572085875743E-2</v>
      </c>
      <c r="J265" s="1"/>
    </row>
    <row r="266" spans="1:10" ht="14.15" customHeight="1" x14ac:dyDescent="0.4">
      <c r="A266" s="44" t="s">
        <v>143</v>
      </c>
      <c r="B266" s="2" t="s">
        <v>854</v>
      </c>
      <c r="C266" s="2" t="s">
        <v>855</v>
      </c>
      <c r="D266" s="43" t="s">
        <v>29</v>
      </c>
      <c r="E266" s="2" t="s">
        <v>170</v>
      </c>
      <c r="F266" s="8">
        <v>449269.06900000002</v>
      </c>
      <c r="G266" s="8">
        <v>0</v>
      </c>
      <c r="H266" s="3">
        <v>0</v>
      </c>
      <c r="I266" s="58">
        <v>0</v>
      </c>
      <c r="J266" s="1"/>
    </row>
    <row r="267" spans="1:10" ht="14.15" customHeight="1" x14ac:dyDescent="0.4">
      <c r="A267" s="44" t="s">
        <v>278</v>
      </c>
      <c r="B267" s="2" t="s">
        <v>856</v>
      </c>
      <c r="C267" s="2" t="s">
        <v>857</v>
      </c>
      <c r="D267" s="43" t="s">
        <v>21</v>
      </c>
      <c r="E267" s="2" t="s">
        <v>21</v>
      </c>
      <c r="F267" s="8">
        <v>4333835.6430000002</v>
      </c>
      <c r="G267" s="8">
        <v>11716.57011867483</v>
      </c>
      <c r="H267" s="3">
        <v>0.27035104890512868</v>
      </c>
      <c r="I267" s="58">
        <v>6.7609904956282742E-3</v>
      </c>
      <c r="J267" s="1"/>
    </row>
    <row r="268" spans="1:10" ht="14.15" customHeight="1" x14ac:dyDescent="0.4">
      <c r="A268" s="44" t="s">
        <v>133</v>
      </c>
      <c r="B268" s="2" t="s">
        <v>858</v>
      </c>
      <c r="C268" s="2" t="s">
        <v>859</v>
      </c>
      <c r="D268" s="43" t="s">
        <v>21</v>
      </c>
      <c r="E268" s="2" t="s">
        <v>21</v>
      </c>
      <c r="F268" s="8">
        <v>1159658.693</v>
      </c>
      <c r="G268" s="8">
        <v>731528.75331805553</v>
      </c>
      <c r="H268" s="3">
        <v>63.081384008394217</v>
      </c>
      <c r="I268" s="58">
        <v>0.42212515252898608</v>
      </c>
      <c r="J268" s="1"/>
    </row>
    <row r="269" spans="1:10" ht="14.15" customHeight="1" x14ac:dyDescent="0.4">
      <c r="A269" s="44" t="s">
        <v>210</v>
      </c>
      <c r="B269" s="2" t="s">
        <v>860</v>
      </c>
      <c r="C269" s="2" t="s">
        <v>861</v>
      </c>
      <c r="D269" s="43" t="s">
        <v>21</v>
      </c>
      <c r="E269" s="2" t="s">
        <v>21</v>
      </c>
      <c r="F269" s="8">
        <v>2516971.2000000002</v>
      </c>
      <c r="G269" s="8">
        <v>373378.84623868519</v>
      </c>
      <c r="H269" s="3">
        <v>14.834450479158649</v>
      </c>
      <c r="I269" s="58">
        <v>0.2154564693523055</v>
      </c>
      <c r="J269" s="1"/>
    </row>
    <row r="270" spans="1:10" ht="14.15" customHeight="1" x14ac:dyDescent="0.4">
      <c r="A270" s="44" t="s">
        <v>248</v>
      </c>
      <c r="B270" s="2" t="s">
        <v>862</v>
      </c>
      <c r="C270" s="2" t="s">
        <v>863</v>
      </c>
      <c r="D270" s="43" t="s">
        <v>10</v>
      </c>
      <c r="E270" s="2" t="s">
        <v>10</v>
      </c>
      <c r="F270" s="8">
        <v>113767.144</v>
      </c>
      <c r="G270" s="8">
        <v>4634.5332732796542</v>
      </c>
      <c r="H270" s="3">
        <v>4.0737009916322187</v>
      </c>
      <c r="I270" s="58">
        <v>2.6743351590901151E-3</v>
      </c>
      <c r="J270" s="1"/>
    </row>
    <row r="271" spans="1:10" ht="14.15" customHeight="1" x14ac:dyDescent="0.4">
      <c r="A271" s="44" t="s">
        <v>163</v>
      </c>
      <c r="B271" s="2" t="s">
        <v>864</v>
      </c>
      <c r="C271" s="2" t="s">
        <v>865</v>
      </c>
      <c r="D271" s="43" t="s">
        <v>29</v>
      </c>
      <c r="E271" s="2" t="s">
        <v>29</v>
      </c>
      <c r="F271" s="8">
        <v>1798759.355</v>
      </c>
      <c r="G271" s="8">
        <v>13938.057713075679</v>
      </c>
      <c r="H271" s="3">
        <v>0.77487061703568882</v>
      </c>
      <c r="I271" s="58">
        <v>8.0428892390123144E-3</v>
      </c>
      <c r="J271" s="1"/>
    </row>
    <row r="272" spans="1:10" ht="14.15" customHeight="1" x14ac:dyDescent="0.4">
      <c r="A272" s="44" t="s">
        <v>256</v>
      </c>
      <c r="B272" s="2" t="s">
        <v>866</v>
      </c>
      <c r="C272" s="2" t="s">
        <v>867</v>
      </c>
      <c r="D272" s="43" t="s">
        <v>12</v>
      </c>
      <c r="E272" s="2" t="s">
        <v>12</v>
      </c>
      <c r="F272" s="8">
        <v>3907.5239999999999</v>
      </c>
      <c r="G272" s="8">
        <v>685.83343951519419</v>
      </c>
      <c r="H272" s="3">
        <v>17.551611698743098</v>
      </c>
      <c r="I272" s="58">
        <v>3.9575689123863848E-4</v>
      </c>
      <c r="J272" s="1"/>
    </row>
    <row r="273" spans="1:10" ht="14.15" customHeight="1" x14ac:dyDescent="0.4">
      <c r="A273" s="44" t="s">
        <v>234</v>
      </c>
      <c r="B273" s="2" t="s">
        <v>868</v>
      </c>
      <c r="C273" s="2" t="s">
        <v>869</v>
      </c>
      <c r="D273" s="43" t="s">
        <v>29</v>
      </c>
      <c r="E273" s="2" t="s">
        <v>170</v>
      </c>
      <c r="F273" s="8">
        <v>660369.18900000001</v>
      </c>
      <c r="G273" s="8">
        <v>0</v>
      </c>
      <c r="H273" s="3">
        <v>0</v>
      </c>
      <c r="I273" s="58">
        <v>0</v>
      </c>
      <c r="J273" s="1"/>
    </row>
    <row r="274" spans="1:10" ht="14.15" customHeight="1" x14ac:dyDescent="0.4">
      <c r="A274" s="44" t="s">
        <v>248</v>
      </c>
      <c r="B274" s="2" t="s">
        <v>870</v>
      </c>
      <c r="C274" s="2" t="s">
        <v>871</v>
      </c>
      <c r="D274" s="43" t="s">
        <v>10</v>
      </c>
      <c r="E274" s="2" t="s">
        <v>10</v>
      </c>
      <c r="F274" s="8">
        <v>206492.38399999999</v>
      </c>
      <c r="G274" s="8">
        <v>85339.868988968214</v>
      </c>
      <c r="H274" s="3">
        <v>41.328337314836858</v>
      </c>
      <c r="I274" s="58">
        <v>4.9244961391297859E-2</v>
      </c>
      <c r="J274" s="1"/>
    </row>
    <row r="275" spans="1:10" ht="14.15" customHeight="1" x14ac:dyDescent="0.4">
      <c r="A275" s="44" t="s">
        <v>145</v>
      </c>
      <c r="B275" s="2" t="s">
        <v>872</v>
      </c>
      <c r="C275" s="2" t="s">
        <v>873</v>
      </c>
      <c r="D275" s="43" t="s">
        <v>10</v>
      </c>
      <c r="E275" s="2" t="s">
        <v>10</v>
      </c>
      <c r="F275" s="8">
        <v>624725.16399999999</v>
      </c>
      <c r="G275" s="8">
        <v>57810.16690045358</v>
      </c>
      <c r="H275" s="3">
        <v>9.2536959020996914</v>
      </c>
      <c r="I275" s="58">
        <v>3.3359079065440472E-2</v>
      </c>
      <c r="J275" s="1"/>
    </row>
    <row r="276" spans="1:10" ht="14.15" customHeight="1" x14ac:dyDescent="0.4">
      <c r="A276" s="44" t="s">
        <v>143</v>
      </c>
      <c r="B276" s="2" t="s">
        <v>874</v>
      </c>
      <c r="C276" s="2" t="s">
        <v>875</v>
      </c>
      <c r="D276" s="43" t="s">
        <v>29</v>
      </c>
      <c r="E276" s="2" t="s">
        <v>29</v>
      </c>
      <c r="F276" s="8">
        <v>1316957.1299999999</v>
      </c>
      <c r="G276" s="8">
        <v>41705.22333301184</v>
      </c>
      <c r="H276" s="3">
        <v>3.166786707249297</v>
      </c>
      <c r="I276" s="58">
        <v>2.406579875480136E-2</v>
      </c>
      <c r="J276" s="1"/>
    </row>
    <row r="277" spans="1:10" ht="14.15" customHeight="1" x14ac:dyDescent="0.4">
      <c r="A277" s="44" t="s">
        <v>230</v>
      </c>
      <c r="B277" s="2" t="s">
        <v>876</v>
      </c>
      <c r="C277" s="2" t="s">
        <v>877</v>
      </c>
      <c r="D277" s="43" t="s">
        <v>29</v>
      </c>
      <c r="E277" s="2" t="s">
        <v>170</v>
      </c>
      <c r="F277" s="8">
        <v>435262.64</v>
      </c>
      <c r="G277" s="8">
        <v>0</v>
      </c>
      <c r="H277" s="3">
        <v>0</v>
      </c>
      <c r="I277" s="58">
        <v>0</v>
      </c>
      <c r="J277" s="1"/>
    </row>
    <row r="278" spans="1:10" ht="14.15" customHeight="1" x14ac:dyDescent="0.4">
      <c r="A278" s="44" t="s">
        <v>192</v>
      </c>
      <c r="B278" s="2" t="s">
        <v>878</v>
      </c>
      <c r="C278" s="2" t="s">
        <v>879</v>
      </c>
      <c r="D278" s="43" t="s">
        <v>35</v>
      </c>
      <c r="E278" s="2" t="s">
        <v>35</v>
      </c>
      <c r="F278" s="8">
        <v>1846803.747</v>
      </c>
      <c r="G278" s="8">
        <v>415725.06694293988</v>
      </c>
      <c r="H278" s="3">
        <v>22.510516757303279</v>
      </c>
      <c r="I278" s="58">
        <v>0.23989215256056029</v>
      </c>
      <c r="J278" s="1"/>
    </row>
    <row r="279" spans="1:10" ht="14.15" customHeight="1" x14ac:dyDescent="0.4">
      <c r="A279" s="44" t="s">
        <v>151</v>
      </c>
      <c r="B279" s="2" t="s">
        <v>880</v>
      </c>
      <c r="C279" s="2" t="s">
        <v>881</v>
      </c>
      <c r="D279" s="43" t="s">
        <v>29</v>
      </c>
      <c r="E279" s="2" t="s">
        <v>29</v>
      </c>
      <c r="F279" s="8">
        <v>2464073.5350000001</v>
      </c>
      <c r="G279" s="8">
        <v>609271.02205863933</v>
      </c>
      <c r="H279" s="3">
        <v>24.726170441120349</v>
      </c>
      <c r="I279" s="58">
        <v>0.3515769160835342</v>
      </c>
      <c r="J279" s="1"/>
    </row>
    <row r="280" spans="1:10" ht="14.15" customHeight="1" x14ac:dyDescent="0.4">
      <c r="A280" s="44" t="s">
        <v>218</v>
      </c>
      <c r="B280" s="2" t="s">
        <v>882</v>
      </c>
      <c r="C280" s="2" t="s">
        <v>883</v>
      </c>
      <c r="D280" s="43" t="s">
        <v>7</v>
      </c>
      <c r="E280" s="2" t="s">
        <v>7</v>
      </c>
      <c r="F280" s="8">
        <v>1898798.75</v>
      </c>
      <c r="G280" s="8">
        <v>214487.7922758146</v>
      </c>
      <c r="H280" s="3">
        <v>11.295972902647771</v>
      </c>
      <c r="I280" s="58">
        <v>0.1237691500427848</v>
      </c>
      <c r="J280" s="1"/>
    </row>
    <row r="281" spans="1:10" ht="14.15" customHeight="1" x14ac:dyDescent="0.4">
      <c r="A281" s="44" t="s">
        <v>290</v>
      </c>
      <c r="B281" s="2" t="s">
        <v>884</v>
      </c>
      <c r="C281" s="2" t="s">
        <v>885</v>
      </c>
      <c r="D281" s="43" t="s">
        <v>57</v>
      </c>
      <c r="E281" s="2" t="s">
        <v>57</v>
      </c>
      <c r="F281" s="8">
        <v>415444.516</v>
      </c>
      <c r="G281" s="8">
        <v>28003.716704571591</v>
      </c>
      <c r="H281" s="3">
        <v>6.740663464329276</v>
      </c>
      <c r="I281" s="58">
        <v>1.615941018268657E-2</v>
      </c>
      <c r="J281" s="1"/>
    </row>
    <row r="282" spans="1:10" ht="14.15" customHeight="1" x14ac:dyDescent="0.4">
      <c r="A282" s="44" t="s">
        <v>145</v>
      </c>
      <c r="B282" s="2" t="s">
        <v>886</v>
      </c>
      <c r="C282" s="2" t="s">
        <v>887</v>
      </c>
      <c r="D282" s="43" t="s">
        <v>10</v>
      </c>
      <c r="E282" s="2" t="s">
        <v>10</v>
      </c>
      <c r="F282" s="8">
        <v>700240.51300000004</v>
      </c>
      <c r="G282" s="8">
        <v>3546.4048377065528</v>
      </c>
      <c r="H282" s="3">
        <v>0.50645524957030774</v>
      </c>
      <c r="I282" s="58">
        <v>2.0464358731713899E-3</v>
      </c>
      <c r="J282" s="1"/>
    </row>
    <row r="283" spans="1:10" ht="14.15" customHeight="1" x14ac:dyDescent="0.4">
      <c r="A283" s="44" t="s">
        <v>292</v>
      </c>
      <c r="B283" s="2" t="s">
        <v>888</v>
      </c>
      <c r="C283" s="2" t="s">
        <v>889</v>
      </c>
      <c r="D283" s="43" t="s">
        <v>57</v>
      </c>
      <c r="E283" s="2" t="s">
        <v>57</v>
      </c>
      <c r="F283" s="8">
        <v>623103.44999999995</v>
      </c>
      <c r="G283" s="8">
        <v>101950.15715821891</v>
      </c>
      <c r="H283" s="3">
        <v>16.361674318801949</v>
      </c>
      <c r="I283" s="58">
        <v>5.8829848376521873E-2</v>
      </c>
      <c r="J283" s="1"/>
    </row>
    <row r="284" spans="1:10" ht="14.15" customHeight="1" x14ac:dyDescent="0.4">
      <c r="A284" s="44" t="s">
        <v>234</v>
      </c>
      <c r="B284" s="2" t="s">
        <v>890</v>
      </c>
      <c r="C284" s="2" t="s">
        <v>891</v>
      </c>
      <c r="D284" s="43" t="s">
        <v>29</v>
      </c>
      <c r="E284" s="2" t="s">
        <v>29</v>
      </c>
      <c r="F284" s="8">
        <v>1147549.47</v>
      </c>
      <c r="G284" s="8">
        <v>280909.19990148651</v>
      </c>
      <c r="H284" s="3">
        <v>24.47904924756633</v>
      </c>
      <c r="I284" s="58">
        <v>0.16209730419667381</v>
      </c>
      <c r="J284" s="1"/>
    </row>
    <row r="285" spans="1:10" ht="14.15" customHeight="1" x14ac:dyDescent="0.4">
      <c r="A285" s="44" t="s">
        <v>252</v>
      </c>
      <c r="B285" s="2" t="s">
        <v>892</v>
      </c>
      <c r="C285" s="2" t="s">
        <v>893</v>
      </c>
      <c r="D285" s="43" t="s">
        <v>1210</v>
      </c>
      <c r="E285" s="2" t="s">
        <v>460</v>
      </c>
      <c r="F285" s="8">
        <v>12785260.499</v>
      </c>
      <c r="G285" s="8">
        <v>5074271.4080535732</v>
      </c>
      <c r="H285" s="3">
        <v>39.688447556078017</v>
      </c>
      <c r="I285" s="58">
        <v>2.9280839370736178</v>
      </c>
      <c r="J285" s="1"/>
    </row>
    <row r="286" spans="1:10" ht="14.15" customHeight="1" x14ac:dyDescent="0.4">
      <c r="A286" s="44" t="s">
        <v>165</v>
      </c>
      <c r="B286" s="2" t="s">
        <v>894</v>
      </c>
      <c r="C286" s="2" t="s">
        <v>895</v>
      </c>
      <c r="D286" s="43" t="s">
        <v>10</v>
      </c>
      <c r="E286" s="2" t="s">
        <v>10</v>
      </c>
      <c r="F286" s="8">
        <v>2070061.004</v>
      </c>
      <c r="G286" s="8">
        <v>38089.229612420393</v>
      </c>
      <c r="H286" s="3">
        <v>1.8400051756358959</v>
      </c>
      <c r="I286" s="58">
        <v>2.1979206951095641E-2</v>
      </c>
      <c r="J286" s="1"/>
    </row>
    <row r="287" spans="1:10" ht="14.15" customHeight="1" x14ac:dyDescent="0.4">
      <c r="A287" s="44" t="s">
        <v>270</v>
      </c>
      <c r="B287" s="2" t="s">
        <v>896</v>
      </c>
      <c r="C287" s="2" t="s">
        <v>897</v>
      </c>
      <c r="D287" s="43" t="s">
        <v>10</v>
      </c>
      <c r="E287" s="2" t="s">
        <v>10</v>
      </c>
      <c r="F287" s="8">
        <v>293164.14799999999</v>
      </c>
      <c r="G287" s="8">
        <v>27780.856751288971</v>
      </c>
      <c r="H287" s="3">
        <v>9.476212197437242</v>
      </c>
      <c r="I287" s="58">
        <v>1.603080991735821E-2</v>
      </c>
      <c r="J287" s="1"/>
    </row>
    <row r="288" spans="1:10" ht="14.15" customHeight="1" x14ac:dyDescent="0.4">
      <c r="A288" s="44" t="s">
        <v>192</v>
      </c>
      <c r="B288" s="2" t="s">
        <v>898</v>
      </c>
      <c r="C288" s="2" t="s">
        <v>899</v>
      </c>
      <c r="D288" s="43" t="s">
        <v>35</v>
      </c>
      <c r="E288" s="2" t="s">
        <v>35</v>
      </c>
      <c r="F288" s="8">
        <v>1745478.727</v>
      </c>
      <c r="G288" s="8">
        <v>16386.806553681981</v>
      </c>
      <c r="H288" s="3">
        <v>0.93881445245949346</v>
      </c>
      <c r="I288" s="58">
        <v>9.4559279926601705E-3</v>
      </c>
      <c r="J288" s="1"/>
    </row>
    <row r="289" spans="1:10" ht="14.15" customHeight="1" x14ac:dyDescent="0.4">
      <c r="A289" s="44" t="s">
        <v>276</v>
      </c>
      <c r="B289" s="2" t="s">
        <v>900</v>
      </c>
      <c r="C289" s="2" t="s">
        <v>901</v>
      </c>
      <c r="D289" s="43" t="s">
        <v>35</v>
      </c>
      <c r="E289" s="2" t="s">
        <v>35</v>
      </c>
      <c r="F289" s="8">
        <v>2593716.7480000001</v>
      </c>
      <c r="G289" s="8">
        <v>144138.23592523651</v>
      </c>
      <c r="H289" s="3">
        <v>5.5572080504311288</v>
      </c>
      <c r="I289" s="58">
        <v>8.3174276539674713E-2</v>
      </c>
      <c r="J289" s="1"/>
    </row>
    <row r="290" spans="1:10" ht="14.15" customHeight="1" x14ac:dyDescent="0.4">
      <c r="A290" s="44" t="s">
        <v>270</v>
      </c>
      <c r="B290" s="2" t="s">
        <v>902</v>
      </c>
      <c r="C290" s="2" t="s">
        <v>903</v>
      </c>
      <c r="D290" s="43" t="s">
        <v>10</v>
      </c>
      <c r="E290" s="2" t="s">
        <v>10</v>
      </c>
      <c r="F290" s="8">
        <v>284171.96500000003</v>
      </c>
      <c r="G290" s="8">
        <v>7170.0234424098544</v>
      </c>
      <c r="H290" s="3">
        <v>2.523128360818371</v>
      </c>
      <c r="I290" s="58">
        <v>4.1374275796206934E-3</v>
      </c>
      <c r="J290" s="1"/>
    </row>
    <row r="291" spans="1:10" ht="14.15" customHeight="1" x14ac:dyDescent="0.4">
      <c r="A291" s="44" t="s">
        <v>266</v>
      </c>
      <c r="B291" s="2" t="s">
        <v>904</v>
      </c>
      <c r="C291" s="2" t="s">
        <v>905</v>
      </c>
      <c r="D291" s="43" t="s">
        <v>37</v>
      </c>
      <c r="E291" s="2" t="s">
        <v>37</v>
      </c>
      <c r="F291" s="8">
        <v>237798.85399999999</v>
      </c>
      <c r="G291" s="8">
        <v>37755.25938250374</v>
      </c>
      <c r="H291" s="3">
        <v>15.876972805976489</v>
      </c>
      <c r="I291" s="58">
        <v>2.1786491034456321E-2</v>
      </c>
      <c r="J291" s="1"/>
    </row>
    <row r="292" spans="1:10" ht="14.15" customHeight="1" x14ac:dyDescent="0.4">
      <c r="A292" s="44" t="s">
        <v>270</v>
      </c>
      <c r="B292" s="2" t="s">
        <v>906</v>
      </c>
      <c r="C292" s="2" t="s">
        <v>907</v>
      </c>
      <c r="D292" s="43" t="s">
        <v>37</v>
      </c>
      <c r="E292" s="2" t="s">
        <v>37</v>
      </c>
      <c r="F292" s="8">
        <v>149857.106</v>
      </c>
      <c r="G292" s="8">
        <v>75384.461990660275</v>
      </c>
      <c r="H292" s="3">
        <v>50.304229143902113</v>
      </c>
      <c r="I292" s="58">
        <v>4.3500241612905589E-2</v>
      </c>
      <c r="J292" s="1"/>
    </row>
    <row r="293" spans="1:10" ht="14.15" customHeight="1" x14ac:dyDescent="0.4">
      <c r="A293" s="44" t="s">
        <v>308</v>
      </c>
      <c r="B293" s="2" t="s">
        <v>908</v>
      </c>
      <c r="C293" s="2" t="s">
        <v>909</v>
      </c>
      <c r="D293" s="43" t="s">
        <v>29</v>
      </c>
      <c r="E293" s="2" t="s">
        <v>29</v>
      </c>
      <c r="F293" s="8">
        <v>233750.948</v>
      </c>
      <c r="G293" s="8">
        <v>140770.11170373179</v>
      </c>
      <c r="H293" s="3">
        <v>60.222263442427518</v>
      </c>
      <c r="I293" s="58">
        <v>8.1230716639547187E-2</v>
      </c>
      <c r="J293" s="1"/>
    </row>
    <row r="294" spans="1:10" ht="14.15" customHeight="1" x14ac:dyDescent="0.4">
      <c r="A294" s="44" t="s">
        <v>234</v>
      </c>
      <c r="B294" s="2" t="s">
        <v>910</v>
      </c>
      <c r="C294" s="2" t="s">
        <v>911</v>
      </c>
      <c r="D294" s="43" t="s">
        <v>10</v>
      </c>
      <c r="E294" s="2" t="s">
        <v>10</v>
      </c>
      <c r="F294" s="8">
        <v>301216.55200000003</v>
      </c>
      <c r="G294" s="8">
        <v>12161.141438368621</v>
      </c>
      <c r="H294" s="3">
        <v>4.0373416924208803</v>
      </c>
      <c r="I294" s="58">
        <v>7.017528239749128E-3</v>
      </c>
      <c r="J294" s="1"/>
    </row>
    <row r="295" spans="1:10" ht="14.15" customHeight="1" x14ac:dyDescent="0.4">
      <c r="A295" s="44" t="s">
        <v>234</v>
      </c>
      <c r="B295" s="2" t="s">
        <v>912</v>
      </c>
      <c r="C295" s="2" t="s">
        <v>913</v>
      </c>
      <c r="D295" s="43" t="s">
        <v>10</v>
      </c>
      <c r="E295" s="2" t="s">
        <v>10</v>
      </c>
      <c r="F295" s="8">
        <v>536555.98300000001</v>
      </c>
      <c r="G295" s="8">
        <v>60309.471526377987</v>
      </c>
      <c r="H295" s="3">
        <v>11.24010791738352</v>
      </c>
      <c r="I295" s="58">
        <v>3.4801290792114789E-2</v>
      </c>
      <c r="J295" s="1"/>
    </row>
    <row r="296" spans="1:10" ht="14.15" customHeight="1" x14ac:dyDescent="0.4">
      <c r="A296" s="44" t="s">
        <v>155</v>
      </c>
      <c r="B296" s="2" t="s">
        <v>914</v>
      </c>
      <c r="C296" s="2" t="s">
        <v>915</v>
      </c>
      <c r="D296" s="43" t="s">
        <v>21</v>
      </c>
      <c r="E296" s="2" t="s">
        <v>21</v>
      </c>
      <c r="F296" s="8">
        <v>324460.12300000002</v>
      </c>
      <c r="G296" s="8">
        <v>103223.2122410161</v>
      </c>
      <c r="H296" s="3">
        <v>31.81383625408294</v>
      </c>
      <c r="I296" s="58">
        <v>5.9564458695755503E-2</v>
      </c>
      <c r="J296" s="1"/>
    </row>
    <row r="297" spans="1:10" ht="14.15" customHeight="1" x14ac:dyDescent="0.4">
      <c r="A297" s="44" t="s">
        <v>276</v>
      </c>
      <c r="B297" s="2" t="s">
        <v>916</v>
      </c>
      <c r="C297" s="2" t="s">
        <v>917</v>
      </c>
      <c r="D297" s="43" t="s">
        <v>35</v>
      </c>
      <c r="E297" s="2" t="s">
        <v>170</v>
      </c>
      <c r="F297" s="8">
        <v>158622.63699999999</v>
      </c>
      <c r="G297" s="8">
        <v>0</v>
      </c>
      <c r="H297" s="3">
        <v>0</v>
      </c>
      <c r="I297" s="58">
        <v>0</v>
      </c>
      <c r="J297" s="1"/>
    </row>
    <row r="298" spans="1:10" ht="14.15" customHeight="1" x14ac:dyDescent="0.4">
      <c r="A298" s="44" t="s">
        <v>190</v>
      </c>
      <c r="B298" s="2" t="s">
        <v>918</v>
      </c>
      <c r="C298" s="2" t="s">
        <v>919</v>
      </c>
      <c r="D298" s="43" t="s">
        <v>35</v>
      </c>
      <c r="E298" s="2" t="s">
        <v>170</v>
      </c>
      <c r="F298" s="8">
        <v>903227.74</v>
      </c>
      <c r="G298" s="8">
        <v>0</v>
      </c>
      <c r="H298" s="3">
        <v>0</v>
      </c>
      <c r="I298" s="58">
        <v>0</v>
      </c>
      <c r="J298" s="1"/>
    </row>
    <row r="299" spans="1:10" ht="14.15" customHeight="1" x14ac:dyDescent="0.4">
      <c r="A299" s="44" t="s">
        <v>244</v>
      </c>
      <c r="B299" s="2" t="s">
        <v>920</v>
      </c>
      <c r="C299" s="2" t="s">
        <v>921</v>
      </c>
      <c r="D299" s="43" t="s">
        <v>10</v>
      </c>
      <c r="E299" s="2" t="s">
        <v>10</v>
      </c>
      <c r="F299" s="8">
        <v>1430561.9539999999</v>
      </c>
      <c r="G299" s="8">
        <v>47894.289419266017</v>
      </c>
      <c r="H299" s="3">
        <v>3.347935354029834</v>
      </c>
      <c r="I299" s="58">
        <v>2.7637169604986009E-2</v>
      </c>
      <c r="J299" s="1"/>
    </row>
    <row r="300" spans="1:10" ht="14.15" customHeight="1" x14ac:dyDescent="0.4">
      <c r="A300" s="44" t="s">
        <v>208</v>
      </c>
      <c r="B300" s="2" t="s">
        <v>922</v>
      </c>
      <c r="C300" s="2" t="s">
        <v>923</v>
      </c>
      <c r="D300" s="43" t="s">
        <v>21</v>
      </c>
      <c r="E300" s="2" t="s">
        <v>21</v>
      </c>
      <c r="F300" s="8">
        <v>67547.244999999995</v>
      </c>
      <c r="G300" s="8">
        <v>66966.478539873264</v>
      </c>
      <c r="H300" s="3">
        <v>99.140207035643385</v>
      </c>
      <c r="I300" s="58">
        <v>3.8642684706177988E-2</v>
      </c>
      <c r="J300" s="1"/>
    </row>
    <row r="301" spans="1:10" ht="14.15" customHeight="1" x14ac:dyDescent="0.4">
      <c r="A301" s="44" t="s">
        <v>157</v>
      </c>
      <c r="B301" s="2" t="s">
        <v>924</v>
      </c>
      <c r="C301" s="2" t="s">
        <v>925</v>
      </c>
      <c r="D301" s="43" t="s">
        <v>7</v>
      </c>
      <c r="E301" s="2" t="s">
        <v>7</v>
      </c>
      <c r="F301" s="8">
        <v>4397260.25</v>
      </c>
      <c r="G301" s="8">
        <v>2149020.6109303129</v>
      </c>
      <c r="H301" s="3">
        <v>48.871808552389247</v>
      </c>
      <c r="I301" s="58">
        <v>1.2400820187343731</v>
      </c>
      <c r="J301" s="1"/>
    </row>
    <row r="302" spans="1:10" ht="14.15" customHeight="1" x14ac:dyDescent="0.4">
      <c r="A302" s="44" t="s">
        <v>282</v>
      </c>
      <c r="B302" s="2" t="s">
        <v>926</v>
      </c>
      <c r="C302" s="2" t="s">
        <v>927</v>
      </c>
      <c r="D302" s="43" t="s">
        <v>7</v>
      </c>
      <c r="E302" s="2" t="s">
        <v>7</v>
      </c>
      <c r="F302" s="8">
        <v>1142333.547</v>
      </c>
      <c r="G302" s="8">
        <v>147218.1910339082</v>
      </c>
      <c r="H302" s="3">
        <v>12.887496075076591</v>
      </c>
      <c r="I302" s="58">
        <v>8.4951549837728138E-2</v>
      </c>
      <c r="J302" s="1"/>
    </row>
    <row r="303" spans="1:10" ht="14.15" customHeight="1" x14ac:dyDescent="0.4">
      <c r="A303" s="44" t="s">
        <v>145</v>
      </c>
      <c r="B303" s="2" t="s">
        <v>928</v>
      </c>
      <c r="C303" s="2" t="s">
        <v>929</v>
      </c>
      <c r="D303" s="43" t="s">
        <v>10</v>
      </c>
      <c r="E303" s="2" t="s">
        <v>10</v>
      </c>
      <c r="F303" s="8">
        <v>1732137.2009999999</v>
      </c>
      <c r="G303" s="8">
        <v>290745.55504500557</v>
      </c>
      <c r="H303" s="3">
        <v>16.785365205316989</v>
      </c>
      <c r="I303" s="58">
        <v>0.16777332567423561</v>
      </c>
      <c r="J303" s="1"/>
    </row>
    <row r="304" spans="1:10" ht="14.15" customHeight="1" x14ac:dyDescent="0.4">
      <c r="A304" s="44" t="s">
        <v>145</v>
      </c>
      <c r="B304" s="2" t="s">
        <v>930</v>
      </c>
      <c r="C304" s="2" t="s">
        <v>931</v>
      </c>
      <c r="D304" s="43" t="s">
        <v>10</v>
      </c>
      <c r="E304" s="2" t="s">
        <v>10</v>
      </c>
      <c r="F304" s="8">
        <v>535392.18500000006</v>
      </c>
      <c r="G304" s="8">
        <v>87779.688521765565</v>
      </c>
      <c r="H304" s="3">
        <v>16.395399667958461</v>
      </c>
      <c r="I304" s="58">
        <v>5.0652847530774731E-2</v>
      </c>
      <c r="J304" s="1"/>
    </row>
    <row r="305" spans="1:10" ht="14.15" customHeight="1" x14ac:dyDescent="0.4">
      <c r="A305" s="44" t="s">
        <v>174</v>
      </c>
      <c r="B305" s="2" t="s">
        <v>932</v>
      </c>
      <c r="C305" s="2" t="s">
        <v>933</v>
      </c>
      <c r="D305" s="43" t="s">
        <v>7</v>
      </c>
      <c r="E305" s="2" t="s">
        <v>7</v>
      </c>
      <c r="F305" s="8">
        <v>4928786.8540000003</v>
      </c>
      <c r="G305" s="8">
        <v>1162089.279922056</v>
      </c>
      <c r="H305" s="3">
        <v>23.577592505931801</v>
      </c>
      <c r="I305" s="58">
        <v>0.67057803581114528</v>
      </c>
      <c r="J305" s="1"/>
    </row>
    <row r="306" spans="1:10" ht="14.15" customHeight="1" x14ac:dyDescent="0.4">
      <c r="A306" s="44" t="s">
        <v>260</v>
      </c>
      <c r="B306" s="2" t="s">
        <v>259</v>
      </c>
      <c r="C306" s="2" t="s">
        <v>934</v>
      </c>
      <c r="D306" s="43" t="s">
        <v>21</v>
      </c>
      <c r="E306" s="2" t="s">
        <v>21</v>
      </c>
      <c r="F306" s="8">
        <v>2851777.2059999998</v>
      </c>
      <c r="G306" s="8">
        <v>1217058.910735803</v>
      </c>
      <c r="H306" s="3">
        <v>42.677208730582841</v>
      </c>
      <c r="I306" s="58">
        <v>0.70229799717488739</v>
      </c>
      <c r="J306" s="1"/>
    </row>
    <row r="307" spans="1:10" ht="14.15" customHeight="1" x14ac:dyDescent="0.4">
      <c r="A307" s="44" t="s">
        <v>284</v>
      </c>
      <c r="B307" s="2" t="s">
        <v>935</v>
      </c>
      <c r="C307" s="2" t="s">
        <v>936</v>
      </c>
      <c r="D307" s="43" t="s">
        <v>10</v>
      </c>
      <c r="E307" s="2" t="s">
        <v>10</v>
      </c>
      <c r="F307" s="8">
        <v>148388.973</v>
      </c>
      <c r="G307" s="8">
        <v>47809.203031176687</v>
      </c>
      <c r="H307" s="3">
        <v>32.218838141818459</v>
      </c>
      <c r="I307" s="58">
        <v>2.7588070913530022E-2</v>
      </c>
      <c r="J307" s="1"/>
    </row>
    <row r="308" spans="1:10" ht="14.15" customHeight="1" x14ac:dyDescent="0.4">
      <c r="A308" s="44" t="s">
        <v>176</v>
      </c>
      <c r="B308" s="2" t="s">
        <v>937</v>
      </c>
      <c r="C308" s="2" t="s">
        <v>938</v>
      </c>
      <c r="D308" s="43" t="s">
        <v>10</v>
      </c>
      <c r="E308" s="2" t="s">
        <v>10</v>
      </c>
      <c r="F308" s="8">
        <v>110819.393</v>
      </c>
      <c r="G308" s="8">
        <v>296.59446103181972</v>
      </c>
      <c r="H308" s="3">
        <v>0.26763768777529728</v>
      </c>
      <c r="I308" s="58">
        <v>1.7114840877331119E-4</v>
      </c>
      <c r="J308" s="1"/>
    </row>
    <row r="309" spans="1:10" ht="14.15" customHeight="1" x14ac:dyDescent="0.4">
      <c r="A309" s="44" t="s">
        <v>182</v>
      </c>
      <c r="B309" s="2" t="s">
        <v>939</v>
      </c>
      <c r="C309" s="2" t="s">
        <v>940</v>
      </c>
      <c r="D309" s="43" t="s">
        <v>29</v>
      </c>
      <c r="E309" s="2" t="s">
        <v>29</v>
      </c>
      <c r="F309" s="8">
        <v>1580383.5009999999</v>
      </c>
      <c r="G309" s="8">
        <v>40482.431399423956</v>
      </c>
      <c r="H309" s="3">
        <v>2.5615574557573142</v>
      </c>
      <c r="I309" s="58">
        <v>2.3360192544333549E-2</v>
      </c>
      <c r="J309" s="1"/>
    </row>
    <row r="310" spans="1:10" ht="14.15" customHeight="1" x14ac:dyDescent="0.4">
      <c r="A310" s="44" t="s">
        <v>159</v>
      </c>
      <c r="B310" s="2" t="s">
        <v>941</v>
      </c>
      <c r="C310" s="2" t="s">
        <v>942</v>
      </c>
      <c r="D310" s="43" t="s">
        <v>29</v>
      </c>
      <c r="E310" s="2" t="s">
        <v>29</v>
      </c>
      <c r="F310" s="8">
        <v>466497.74599999998</v>
      </c>
      <c r="G310" s="8">
        <v>18526.60360002669</v>
      </c>
      <c r="H310" s="3">
        <v>3.9714240334243098</v>
      </c>
      <c r="I310" s="58">
        <v>1.069068759776432E-2</v>
      </c>
      <c r="J310" s="1"/>
    </row>
    <row r="311" spans="1:10" ht="14.15" customHeight="1" x14ac:dyDescent="0.4">
      <c r="A311" s="44" t="s">
        <v>254</v>
      </c>
      <c r="B311" s="2" t="s">
        <v>943</v>
      </c>
      <c r="C311" s="2" t="s">
        <v>944</v>
      </c>
      <c r="D311" s="43" t="s">
        <v>1216</v>
      </c>
      <c r="E311" s="2" t="s">
        <v>707</v>
      </c>
      <c r="F311" s="8">
        <v>3233873.0249999999</v>
      </c>
      <c r="G311" s="8">
        <v>835871.84796832758</v>
      </c>
      <c r="H311" s="3">
        <v>25.847392322038601</v>
      </c>
      <c r="I311" s="58">
        <v>0.48233583398861452</v>
      </c>
      <c r="J311" s="1"/>
    </row>
    <row r="312" spans="1:10" ht="14.15" customHeight="1" x14ac:dyDescent="0.4">
      <c r="A312" s="44" t="s">
        <v>186</v>
      </c>
      <c r="B312" s="2" t="s">
        <v>945</v>
      </c>
      <c r="C312" s="2" t="s">
        <v>946</v>
      </c>
      <c r="D312" s="43" t="s">
        <v>7</v>
      </c>
      <c r="E312" s="2" t="s">
        <v>7</v>
      </c>
      <c r="F312" s="8">
        <v>1343389.8740000001</v>
      </c>
      <c r="G312" s="8">
        <v>404658.12975255691</v>
      </c>
      <c r="H312" s="3">
        <v>30.122166139876441</v>
      </c>
      <c r="I312" s="58">
        <v>0.23350602962509179</v>
      </c>
      <c r="J312" s="1"/>
    </row>
    <row r="313" spans="1:10" ht="14.15" customHeight="1" x14ac:dyDescent="0.4">
      <c r="A313" s="44" t="s">
        <v>278</v>
      </c>
      <c r="B313" s="2" t="s">
        <v>947</v>
      </c>
      <c r="C313" s="2" t="s">
        <v>948</v>
      </c>
      <c r="D313" s="43" t="s">
        <v>21</v>
      </c>
      <c r="E313" s="2" t="s">
        <v>21</v>
      </c>
      <c r="F313" s="8">
        <v>1938959.3600000001</v>
      </c>
      <c r="G313" s="8">
        <v>48420.669536842717</v>
      </c>
      <c r="H313" s="3">
        <v>2.4972503568534159</v>
      </c>
      <c r="I313" s="58">
        <v>2.7940914722881169E-2</v>
      </c>
      <c r="J313" s="1"/>
    </row>
    <row r="314" spans="1:10" ht="14.15" customHeight="1" x14ac:dyDescent="0.4">
      <c r="A314" s="44" t="s">
        <v>262</v>
      </c>
      <c r="B314" s="2" t="s">
        <v>949</v>
      </c>
      <c r="C314" s="2" t="s">
        <v>950</v>
      </c>
      <c r="D314" s="43" t="s">
        <v>1214</v>
      </c>
      <c r="E314" s="2" t="s">
        <v>568</v>
      </c>
      <c r="F314" s="8">
        <v>161985.367</v>
      </c>
      <c r="G314" s="8">
        <v>54586.302419123604</v>
      </c>
      <c r="H314" s="3">
        <v>33.698292277921368</v>
      </c>
      <c r="I314" s="58">
        <v>3.1498763555296037E-2</v>
      </c>
      <c r="J314" s="1"/>
    </row>
    <row r="315" spans="1:10" ht="14.15" customHeight="1" x14ac:dyDescent="0.4">
      <c r="A315" s="44" t="s">
        <v>240</v>
      </c>
      <c r="B315" s="2" t="s">
        <v>951</v>
      </c>
      <c r="C315" s="2" t="s">
        <v>952</v>
      </c>
      <c r="D315" s="43" t="s">
        <v>10</v>
      </c>
      <c r="E315" s="2" t="s">
        <v>10</v>
      </c>
      <c r="F315" s="8">
        <v>86829.023000000001</v>
      </c>
      <c r="G315" s="8">
        <v>13498.679293491159</v>
      </c>
      <c r="H315" s="3">
        <v>15.54627568882257</v>
      </c>
      <c r="I315" s="58">
        <v>7.7893480329506307E-3</v>
      </c>
      <c r="J315" s="1"/>
    </row>
    <row r="316" spans="1:10" ht="14.15" customHeight="1" x14ac:dyDescent="0.4">
      <c r="A316" s="44" t="s">
        <v>258</v>
      </c>
      <c r="B316" s="2" t="s">
        <v>953</v>
      </c>
      <c r="C316" s="2" t="s">
        <v>954</v>
      </c>
      <c r="D316" s="43" t="s">
        <v>7</v>
      </c>
      <c r="E316" s="2" t="s">
        <v>7</v>
      </c>
      <c r="F316" s="8">
        <v>1862236.0889999999</v>
      </c>
      <c r="G316" s="8">
        <v>128152.7565603031</v>
      </c>
      <c r="H316" s="3">
        <v>6.8816600278174036</v>
      </c>
      <c r="I316" s="58">
        <v>7.3949932473136581E-2</v>
      </c>
      <c r="J316" s="1"/>
    </row>
    <row r="317" spans="1:10" ht="14.15" customHeight="1" x14ac:dyDescent="0.4">
      <c r="A317" s="44" t="s">
        <v>248</v>
      </c>
      <c r="B317" s="2" t="s">
        <v>955</v>
      </c>
      <c r="C317" s="2" t="s">
        <v>956</v>
      </c>
      <c r="D317" s="43" t="s">
        <v>10</v>
      </c>
      <c r="E317" s="2" t="s">
        <v>10</v>
      </c>
      <c r="F317" s="8">
        <v>20606.021000000001</v>
      </c>
      <c r="G317" s="8">
        <v>10726.607619712509</v>
      </c>
      <c r="H317" s="3">
        <v>52.05569585565555</v>
      </c>
      <c r="I317" s="58">
        <v>6.1897373918001668E-3</v>
      </c>
      <c r="J317" s="1"/>
    </row>
    <row r="318" spans="1:10" ht="14.15" customHeight="1" x14ac:dyDescent="0.4">
      <c r="A318" s="44" t="s">
        <v>198</v>
      </c>
      <c r="B318" s="2" t="s">
        <v>957</v>
      </c>
      <c r="C318" s="2" t="s">
        <v>958</v>
      </c>
      <c r="D318" s="43" t="s">
        <v>35</v>
      </c>
      <c r="E318" s="2" t="s">
        <v>35</v>
      </c>
      <c r="F318" s="8">
        <v>1409304.8970000001</v>
      </c>
      <c r="G318" s="8">
        <v>145387.36266864149</v>
      </c>
      <c r="H318" s="3">
        <v>10.316246184777251</v>
      </c>
      <c r="I318" s="58">
        <v>8.3895079125623953E-2</v>
      </c>
      <c r="J318" s="1"/>
    </row>
    <row r="319" spans="1:10" ht="14.15" customHeight="1" x14ac:dyDescent="0.4">
      <c r="A319" s="44" t="s">
        <v>224</v>
      </c>
      <c r="B319" s="2" t="s">
        <v>959</v>
      </c>
      <c r="C319" s="2" t="s">
        <v>960</v>
      </c>
      <c r="D319" s="43" t="s">
        <v>7</v>
      </c>
      <c r="E319" s="2" t="s">
        <v>7</v>
      </c>
      <c r="F319" s="8">
        <v>991276.99199999997</v>
      </c>
      <c r="G319" s="8">
        <v>370285.52988126822</v>
      </c>
      <c r="H319" s="3">
        <v>37.354395680482831</v>
      </c>
      <c r="I319" s="58">
        <v>0.21367148600985669</v>
      </c>
      <c r="J319" s="1"/>
    </row>
    <row r="320" spans="1:10" ht="14.15" customHeight="1" x14ac:dyDescent="0.4">
      <c r="A320" s="44" t="s">
        <v>286</v>
      </c>
      <c r="B320" s="2" t="s">
        <v>961</v>
      </c>
      <c r="C320" s="2" t="s">
        <v>962</v>
      </c>
      <c r="D320" s="43" t="s">
        <v>21</v>
      </c>
      <c r="E320" s="2" t="s">
        <v>170</v>
      </c>
      <c r="F320" s="8">
        <v>3627233.4959999998</v>
      </c>
      <c r="G320" s="8">
        <v>0</v>
      </c>
      <c r="H320" s="3">
        <v>0</v>
      </c>
      <c r="I320" s="58">
        <v>0</v>
      </c>
      <c r="J320" s="1"/>
    </row>
    <row r="321" spans="1:10" ht="14.15" customHeight="1" x14ac:dyDescent="0.4">
      <c r="A321" s="44" t="s">
        <v>272</v>
      </c>
      <c r="B321" s="2" t="s">
        <v>963</v>
      </c>
      <c r="C321" s="2" t="s">
        <v>964</v>
      </c>
      <c r="D321" s="43" t="s">
        <v>1213</v>
      </c>
      <c r="E321" s="2" t="s">
        <v>423</v>
      </c>
      <c r="F321" s="8">
        <v>614701.42099999997</v>
      </c>
      <c r="G321" s="8">
        <v>163287.01845752011</v>
      </c>
      <c r="H321" s="3">
        <v>26.563631200312479</v>
      </c>
      <c r="I321" s="58">
        <v>9.4223989501087471E-2</v>
      </c>
      <c r="J321" s="1"/>
    </row>
    <row r="322" spans="1:10" ht="14.15" customHeight="1" x14ac:dyDescent="0.4">
      <c r="A322" s="44" t="s">
        <v>147</v>
      </c>
      <c r="B322" s="2" t="s">
        <v>965</v>
      </c>
      <c r="C322" s="2" t="s">
        <v>966</v>
      </c>
      <c r="D322" s="43" t="s">
        <v>10</v>
      </c>
      <c r="E322" s="2" t="s">
        <v>170</v>
      </c>
      <c r="F322" s="8">
        <v>260805.51</v>
      </c>
      <c r="G322" s="8">
        <v>0</v>
      </c>
      <c r="H322" s="3">
        <v>0</v>
      </c>
      <c r="I322" s="58">
        <v>0</v>
      </c>
      <c r="J322" s="1"/>
    </row>
    <row r="323" spans="1:10" ht="14.15" customHeight="1" x14ac:dyDescent="0.4">
      <c r="A323" s="44" t="s">
        <v>248</v>
      </c>
      <c r="B323" s="2" t="s">
        <v>967</v>
      </c>
      <c r="C323" s="2" t="s">
        <v>968</v>
      </c>
      <c r="D323" s="43" t="s">
        <v>10</v>
      </c>
      <c r="E323" s="2" t="s">
        <v>10</v>
      </c>
      <c r="F323" s="8">
        <v>150795.42199999999</v>
      </c>
      <c r="G323" s="8">
        <v>17627.871112542402</v>
      </c>
      <c r="H323" s="3">
        <v>11.689924587062331</v>
      </c>
      <c r="I323" s="58">
        <v>1.017207833375209E-2</v>
      </c>
      <c r="J323" s="1"/>
    </row>
    <row r="324" spans="1:10" ht="14.15" customHeight="1" x14ac:dyDescent="0.4">
      <c r="A324" s="44" t="s">
        <v>206</v>
      </c>
      <c r="B324" s="2" t="s">
        <v>969</v>
      </c>
      <c r="C324" s="2" t="s">
        <v>970</v>
      </c>
      <c r="D324" s="43" t="s">
        <v>7</v>
      </c>
      <c r="E324" s="2" t="s">
        <v>7</v>
      </c>
      <c r="F324" s="8">
        <v>4741854.3779999996</v>
      </c>
      <c r="G324" s="8">
        <v>457159.05778604711</v>
      </c>
      <c r="H324" s="3">
        <v>9.6409341439722969</v>
      </c>
      <c r="I324" s="58">
        <v>0.26380143791017768</v>
      </c>
      <c r="J324" s="1"/>
    </row>
    <row r="325" spans="1:10" ht="14.15" customHeight="1" x14ac:dyDescent="0.4">
      <c r="A325" s="44" t="s">
        <v>264</v>
      </c>
      <c r="B325" s="2" t="s">
        <v>971</v>
      </c>
      <c r="C325" s="2" t="s">
        <v>972</v>
      </c>
      <c r="D325" s="43" t="s">
        <v>1219</v>
      </c>
      <c r="E325" s="2" t="s">
        <v>553</v>
      </c>
      <c r="F325" s="8">
        <v>12962073.092</v>
      </c>
      <c r="G325" s="8">
        <v>3013426.6546777212</v>
      </c>
      <c r="H325" s="3">
        <v>23.248030105134671</v>
      </c>
      <c r="I325" s="58">
        <v>1.738883373306974</v>
      </c>
      <c r="J325" s="1"/>
    </row>
    <row r="326" spans="1:10" ht="14.15" customHeight="1" x14ac:dyDescent="0.4">
      <c r="A326" s="44" t="s">
        <v>137</v>
      </c>
      <c r="B326" s="2" t="s">
        <v>973</v>
      </c>
      <c r="C326" s="2" t="s">
        <v>974</v>
      </c>
      <c r="D326" s="43" t="s">
        <v>1222</v>
      </c>
      <c r="E326" s="2" t="s">
        <v>802</v>
      </c>
      <c r="F326" s="8">
        <v>713119.94000000006</v>
      </c>
      <c r="G326" s="8">
        <v>530229.76341896912</v>
      </c>
      <c r="H326" s="3">
        <v>74.353518065834635</v>
      </c>
      <c r="I326" s="58">
        <v>0.30596653753311348</v>
      </c>
      <c r="J326" s="1"/>
    </row>
    <row r="327" spans="1:10" ht="14.15" customHeight="1" x14ac:dyDescent="0.4">
      <c r="A327" s="44" t="s">
        <v>272</v>
      </c>
      <c r="B327" s="2" t="s">
        <v>975</v>
      </c>
      <c r="C327" s="2" t="s">
        <v>976</v>
      </c>
      <c r="D327" s="43" t="s">
        <v>29</v>
      </c>
      <c r="E327" s="2" t="s">
        <v>29</v>
      </c>
      <c r="F327" s="8">
        <v>563865.647</v>
      </c>
      <c r="G327" s="8">
        <v>24586.727787018641</v>
      </c>
      <c r="H327" s="3">
        <v>4.3603876061310478</v>
      </c>
      <c r="I327" s="58">
        <v>1.418765314447106E-2</v>
      </c>
      <c r="J327" s="1"/>
    </row>
    <row r="328" spans="1:10" ht="14.15" customHeight="1" x14ac:dyDescent="0.4">
      <c r="A328" s="44" t="s">
        <v>143</v>
      </c>
      <c r="B328" s="2" t="s">
        <v>977</v>
      </c>
      <c r="C328" s="2" t="s">
        <v>978</v>
      </c>
      <c r="D328" s="43" t="s">
        <v>29</v>
      </c>
      <c r="E328" s="2" t="s">
        <v>29</v>
      </c>
      <c r="F328" s="8">
        <v>1009244.0379999999</v>
      </c>
      <c r="G328" s="8">
        <v>21177.74407080339</v>
      </c>
      <c r="H328" s="3">
        <v>2.0983769309919271</v>
      </c>
      <c r="I328" s="58">
        <v>1.2220515469227099E-2</v>
      </c>
      <c r="J328" s="1"/>
    </row>
    <row r="329" spans="1:10" ht="14.15" customHeight="1" x14ac:dyDescent="0.4">
      <c r="A329" s="44" t="s">
        <v>294</v>
      </c>
      <c r="B329" s="2" t="s">
        <v>979</v>
      </c>
      <c r="C329" s="2" t="s">
        <v>980</v>
      </c>
      <c r="D329" s="43" t="s">
        <v>57</v>
      </c>
      <c r="E329" s="2" t="s">
        <v>57</v>
      </c>
      <c r="F329" s="8">
        <v>1106928.274</v>
      </c>
      <c r="G329" s="8">
        <v>176205.31241957549</v>
      </c>
      <c r="H329" s="3">
        <v>15.91840379890554</v>
      </c>
      <c r="I329" s="58">
        <v>0.1016784289669494</v>
      </c>
      <c r="J329" s="1"/>
    </row>
    <row r="330" spans="1:10" ht="14.15" customHeight="1" x14ac:dyDescent="0.4">
      <c r="A330" s="44" t="s">
        <v>268</v>
      </c>
      <c r="B330" s="2" t="s">
        <v>981</v>
      </c>
      <c r="C330" s="2" t="s">
        <v>982</v>
      </c>
      <c r="D330" s="43" t="s">
        <v>1214</v>
      </c>
      <c r="E330" s="2" t="s">
        <v>568</v>
      </c>
      <c r="F330" s="8">
        <v>1734517.1270000001</v>
      </c>
      <c r="G330" s="8">
        <v>740774.07641478872</v>
      </c>
      <c r="H330" s="3">
        <v>42.707798319410237</v>
      </c>
      <c r="I330" s="58">
        <v>0.42746012180351778</v>
      </c>
      <c r="J330" s="1"/>
    </row>
    <row r="331" spans="1:10" ht="14.15" customHeight="1" x14ac:dyDescent="0.4">
      <c r="A331" s="44" t="s">
        <v>254</v>
      </c>
      <c r="B331" s="2" t="s">
        <v>983</v>
      </c>
      <c r="C331" s="2" t="s">
        <v>984</v>
      </c>
      <c r="D331" s="43" t="s">
        <v>1216</v>
      </c>
      <c r="E331" s="2" t="s">
        <v>707</v>
      </c>
      <c r="F331" s="8">
        <v>7728295.5840000007</v>
      </c>
      <c r="G331" s="8">
        <v>276533.26859033213</v>
      </c>
      <c r="H331" s="3">
        <v>3.5781921846110909</v>
      </c>
      <c r="I331" s="58">
        <v>0.15957219405739509</v>
      </c>
      <c r="J331" s="1"/>
    </row>
    <row r="332" spans="1:10" ht="14.15" customHeight="1" x14ac:dyDescent="0.4">
      <c r="A332" s="44" t="s">
        <v>238</v>
      </c>
      <c r="B332" s="2" t="s">
        <v>985</v>
      </c>
      <c r="C332" s="2" t="s">
        <v>986</v>
      </c>
      <c r="D332" s="43" t="s">
        <v>1207</v>
      </c>
      <c r="E332" s="2" t="s">
        <v>364</v>
      </c>
      <c r="F332" s="8">
        <v>5439228.4450000003</v>
      </c>
      <c r="G332" s="8">
        <v>1173544.293905365</v>
      </c>
      <c r="H332" s="3">
        <v>21.57556546432874</v>
      </c>
      <c r="I332" s="58">
        <v>0.67718809659548695</v>
      </c>
      <c r="J332" s="1"/>
    </row>
    <row r="333" spans="1:10" ht="14.15" customHeight="1" x14ac:dyDescent="0.4">
      <c r="A333" s="44" t="s">
        <v>167</v>
      </c>
      <c r="B333" s="2" t="s">
        <v>987</v>
      </c>
      <c r="C333" s="2" t="s">
        <v>988</v>
      </c>
      <c r="D333" s="43" t="s">
        <v>7</v>
      </c>
      <c r="E333" s="2" t="s">
        <v>7</v>
      </c>
      <c r="F333" s="8">
        <v>6010838.3530000001</v>
      </c>
      <c r="G333" s="8">
        <v>1727321.765220393</v>
      </c>
      <c r="H333" s="3">
        <v>28.736786181553011</v>
      </c>
      <c r="I333" s="58">
        <v>0.99674272583688361</v>
      </c>
      <c r="J333" s="1"/>
    </row>
    <row r="334" spans="1:10" ht="14.15" customHeight="1" x14ac:dyDescent="0.4">
      <c r="A334" s="44" t="s">
        <v>145</v>
      </c>
      <c r="B334" s="2" t="s">
        <v>989</v>
      </c>
      <c r="C334" s="2" t="s">
        <v>990</v>
      </c>
      <c r="D334" s="43" t="s">
        <v>29</v>
      </c>
      <c r="E334" s="2" t="s">
        <v>29</v>
      </c>
      <c r="F334" s="8">
        <v>4264666.2759999996</v>
      </c>
      <c r="G334" s="8">
        <v>97346.17405664589</v>
      </c>
      <c r="H334" s="3">
        <v>2.2826211421155032</v>
      </c>
      <c r="I334" s="58">
        <v>5.6173142047239118E-2</v>
      </c>
      <c r="J334" s="1"/>
    </row>
    <row r="335" spans="1:10" ht="14.15" customHeight="1" x14ac:dyDescent="0.4">
      <c r="A335" s="44" t="s">
        <v>192</v>
      </c>
      <c r="B335" s="2" t="s">
        <v>991</v>
      </c>
      <c r="C335" s="2" t="s">
        <v>992</v>
      </c>
      <c r="D335" s="43" t="s">
        <v>35</v>
      </c>
      <c r="E335" s="2" t="s">
        <v>35</v>
      </c>
      <c r="F335" s="8">
        <v>728317.28599999996</v>
      </c>
      <c r="G335" s="8">
        <v>34056.167130023321</v>
      </c>
      <c r="H335" s="3">
        <v>4.6760069800160311</v>
      </c>
      <c r="I335" s="58">
        <v>1.9651947622164521E-2</v>
      </c>
      <c r="J335" s="1"/>
    </row>
    <row r="336" spans="1:10" ht="14.15" customHeight="1" x14ac:dyDescent="0.4">
      <c r="A336" s="44" t="s">
        <v>272</v>
      </c>
      <c r="B336" s="2" t="s">
        <v>993</v>
      </c>
      <c r="C336" s="2" t="s">
        <v>994</v>
      </c>
      <c r="D336" s="43" t="s">
        <v>29</v>
      </c>
      <c r="E336" s="2" t="s">
        <v>29</v>
      </c>
      <c r="F336" s="8">
        <v>220.26599999999999</v>
      </c>
      <c r="G336" s="8">
        <v>163.57802124066069</v>
      </c>
      <c r="H336" s="3">
        <v>74.26385426741335</v>
      </c>
      <c r="I336" s="58">
        <v>9.4391911258998406E-5</v>
      </c>
      <c r="J336" s="1"/>
    </row>
    <row r="337" spans="1:10" ht="14.15" customHeight="1" x14ac:dyDescent="0.4">
      <c r="A337" s="44" t="s">
        <v>218</v>
      </c>
      <c r="B337" s="2" t="s">
        <v>995</v>
      </c>
      <c r="C337" s="2" t="s">
        <v>996</v>
      </c>
      <c r="D337" s="43" t="s">
        <v>7</v>
      </c>
      <c r="E337" s="2" t="s">
        <v>7</v>
      </c>
      <c r="F337" s="8">
        <v>2610275.389</v>
      </c>
      <c r="G337" s="8">
        <v>459490.27090897138</v>
      </c>
      <c r="H337" s="3">
        <v>17.603133862630589</v>
      </c>
      <c r="I337" s="58">
        <v>0.26514665324262843</v>
      </c>
      <c r="J337" s="1"/>
    </row>
    <row r="338" spans="1:10" ht="14.15" customHeight="1" x14ac:dyDescent="0.4">
      <c r="A338" s="44" t="s">
        <v>296</v>
      </c>
      <c r="B338" s="2" t="s">
        <v>997</v>
      </c>
      <c r="C338" s="2" t="s">
        <v>998</v>
      </c>
      <c r="D338" s="43" t="s">
        <v>57</v>
      </c>
      <c r="E338" s="2" t="s">
        <v>57</v>
      </c>
      <c r="F338" s="8">
        <v>782121.34299999999</v>
      </c>
      <c r="G338" s="8">
        <v>425194.51987469808</v>
      </c>
      <c r="H338" s="3">
        <v>54.364265044062108</v>
      </c>
      <c r="I338" s="58">
        <v>0.24535645487957869</v>
      </c>
      <c r="J338" s="1"/>
    </row>
    <row r="339" spans="1:10" ht="14.15" customHeight="1" x14ac:dyDescent="0.4">
      <c r="A339" s="44" t="s">
        <v>230</v>
      </c>
      <c r="B339" s="2" t="s">
        <v>999</v>
      </c>
      <c r="C339" s="2" t="s">
        <v>1000</v>
      </c>
      <c r="D339" s="43" t="s">
        <v>29</v>
      </c>
      <c r="E339" s="2" t="s">
        <v>29</v>
      </c>
      <c r="F339" s="8">
        <v>4720994.7520000003</v>
      </c>
      <c r="G339" s="8">
        <v>33555.285198497688</v>
      </c>
      <c r="H339" s="3">
        <v>0.710767263282433</v>
      </c>
      <c r="I339" s="58">
        <v>1.9362916110026079E-2</v>
      </c>
      <c r="J339" s="1"/>
    </row>
    <row r="340" spans="1:10" ht="14.15" customHeight="1" x14ac:dyDescent="0.4">
      <c r="A340" s="44" t="s">
        <v>188</v>
      </c>
      <c r="B340" s="2" t="s">
        <v>1001</v>
      </c>
      <c r="C340" s="2" t="s">
        <v>1002</v>
      </c>
      <c r="D340" s="43" t="s">
        <v>35</v>
      </c>
      <c r="E340" s="2" t="s">
        <v>35</v>
      </c>
      <c r="F340" s="8">
        <v>438470.42499999999</v>
      </c>
      <c r="G340" s="8">
        <v>37012.574204872399</v>
      </c>
      <c r="H340" s="3">
        <v>8.441293208058994</v>
      </c>
      <c r="I340" s="58">
        <v>2.1357928120877528E-2</v>
      </c>
      <c r="J340" s="1"/>
    </row>
    <row r="341" spans="1:10" ht="14.15" customHeight="1" x14ac:dyDescent="0.4">
      <c r="A341" s="44" t="s">
        <v>230</v>
      </c>
      <c r="B341" s="2" t="s">
        <v>1003</v>
      </c>
      <c r="C341" s="2" t="s">
        <v>1004</v>
      </c>
      <c r="D341" s="43" t="s">
        <v>29</v>
      </c>
      <c r="E341" s="2" t="s">
        <v>29</v>
      </c>
      <c r="F341" s="8">
        <v>3715453.6529999999</v>
      </c>
      <c r="G341" s="8">
        <v>286795.68383255909</v>
      </c>
      <c r="H341" s="3">
        <v>7.7189950573327506</v>
      </c>
      <c r="I341" s="58">
        <v>0.16549407146794351</v>
      </c>
      <c r="J341" s="1"/>
    </row>
    <row r="342" spans="1:10" ht="14.15" customHeight="1" x14ac:dyDescent="0.4">
      <c r="A342" s="44" t="s">
        <v>232</v>
      </c>
      <c r="B342" s="2" t="s">
        <v>1005</v>
      </c>
      <c r="C342" s="2" t="s">
        <v>1006</v>
      </c>
      <c r="D342" s="43" t="s">
        <v>29</v>
      </c>
      <c r="E342" s="2" t="s">
        <v>29</v>
      </c>
      <c r="F342" s="8">
        <v>1333519.446</v>
      </c>
      <c r="G342" s="8">
        <v>11347.942016374889</v>
      </c>
      <c r="H342" s="3">
        <v>0.85097686804747918</v>
      </c>
      <c r="I342" s="58">
        <v>6.5482754202412429E-3</v>
      </c>
      <c r="J342" s="1"/>
    </row>
    <row r="343" spans="1:10" ht="14.15" customHeight="1" x14ac:dyDescent="0.4">
      <c r="A343" s="44" t="s">
        <v>188</v>
      </c>
      <c r="B343" s="2" t="s">
        <v>1007</v>
      </c>
      <c r="C343" s="2" t="s">
        <v>1008</v>
      </c>
      <c r="D343" s="43" t="s">
        <v>35</v>
      </c>
      <c r="E343" s="2" t="s">
        <v>35</v>
      </c>
      <c r="F343" s="8">
        <v>1093789.27</v>
      </c>
      <c r="G343" s="8">
        <v>14020.68330797491</v>
      </c>
      <c r="H343" s="3">
        <v>1.281845021936896</v>
      </c>
      <c r="I343" s="58">
        <v>8.0905679415806502E-3</v>
      </c>
      <c r="J343" s="1"/>
    </row>
    <row r="344" spans="1:10" ht="14.15" customHeight="1" x14ac:dyDescent="0.4">
      <c r="A344" s="44" t="s">
        <v>248</v>
      </c>
      <c r="B344" s="2" t="s">
        <v>1009</v>
      </c>
      <c r="C344" s="2" t="s">
        <v>1010</v>
      </c>
      <c r="D344" s="43" t="s">
        <v>1213</v>
      </c>
      <c r="E344" s="2" t="s">
        <v>423</v>
      </c>
      <c r="F344" s="8">
        <v>268001.19</v>
      </c>
      <c r="G344" s="8">
        <v>38953.550955962761</v>
      </c>
      <c r="H344" s="3">
        <v>14.53484253408082</v>
      </c>
      <c r="I344" s="58">
        <v>2.2477959429821861E-2</v>
      </c>
      <c r="J344" s="1"/>
    </row>
    <row r="345" spans="1:10" ht="14.15" customHeight="1" x14ac:dyDescent="0.4">
      <c r="A345" s="44" t="s">
        <v>151</v>
      </c>
      <c r="B345" s="2" t="s">
        <v>1011</v>
      </c>
      <c r="C345" s="2" t="s">
        <v>1012</v>
      </c>
      <c r="D345" s="43" t="s">
        <v>29</v>
      </c>
      <c r="E345" s="2" t="s">
        <v>29</v>
      </c>
      <c r="F345" s="8">
        <v>512498.27</v>
      </c>
      <c r="G345" s="8">
        <v>248518.36512378481</v>
      </c>
      <c r="H345" s="3">
        <v>48.491552005392087</v>
      </c>
      <c r="I345" s="58">
        <v>0.14340632860745631</v>
      </c>
      <c r="J345" s="1"/>
    </row>
    <row r="346" spans="1:10" ht="14.15" customHeight="1" x14ac:dyDescent="0.4">
      <c r="A346" s="44" t="s">
        <v>264</v>
      </c>
      <c r="B346" s="2" t="s">
        <v>1013</v>
      </c>
      <c r="C346" s="2" t="s">
        <v>1014</v>
      </c>
      <c r="D346" s="43" t="s">
        <v>1224</v>
      </c>
      <c r="E346" s="2" t="s">
        <v>364</v>
      </c>
      <c r="F346" s="8">
        <v>7482820.5259999996</v>
      </c>
      <c r="G346" s="8">
        <v>1403070.578650743</v>
      </c>
      <c r="H346" s="3">
        <v>18.750557677757971</v>
      </c>
      <c r="I346" s="58">
        <v>0.80963513646656171</v>
      </c>
      <c r="J346" s="1"/>
    </row>
    <row r="347" spans="1:10" ht="14.15" customHeight="1" x14ac:dyDescent="0.4">
      <c r="A347" s="44" t="s">
        <v>270</v>
      </c>
      <c r="B347" s="2" t="s">
        <v>1016</v>
      </c>
      <c r="C347" s="2" t="s">
        <v>1017</v>
      </c>
      <c r="D347" s="43" t="s">
        <v>37</v>
      </c>
      <c r="E347" s="2" t="s">
        <v>37</v>
      </c>
      <c r="F347" s="8">
        <v>342045.20799999998</v>
      </c>
      <c r="G347" s="8">
        <v>7596.0270394840327</v>
      </c>
      <c r="H347" s="3">
        <v>2.2207669810372059</v>
      </c>
      <c r="I347" s="58">
        <v>4.3832509086110839E-3</v>
      </c>
      <c r="J347" s="1"/>
    </row>
    <row r="348" spans="1:10" ht="14.15" customHeight="1" x14ac:dyDescent="0.4">
      <c r="A348" s="44" t="s">
        <v>163</v>
      </c>
      <c r="B348" s="2" t="s">
        <v>1018</v>
      </c>
      <c r="C348" s="2" t="s">
        <v>1019</v>
      </c>
      <c r="D348" s="43" t="s">
        <v>1224</v>
      </c>
      <c r="E348" s="2" t="s">
        <v>1015</v>
      </c>
      <c r="F348" s="8">
        <v>8945359.9360000007</v>
      </c>
      <c r="G348" s="8">
        <v>594479.42180868227</v>
      </c>
      <c r="H348" s="3">
        <v>6.6456735789494594</v>
      </c>
      <c r="I348" s="58">
        <v>0.34304149422439351</v>
      </c>
      <c r="J348" s="1"/>
    </row>
    <row r="349" spans="1:10" ht="14.15" customHeight="1" x14ac:dyDescent="0.4">
      <c r="A349" s="44" t="s">
        <v>272</v>
      </c>
      <c r="B349" s="2" t="s">
        <v>1020</v>
      </c>
      <c r="C349" s="2" t="s">
        <v>1021</v>
      </c>
      <c r="D349" s="43" t="s">
        <v>1213</v>
      </c>
      <c r="E349" s="2" t="s">
        <v>423</v>
      </c>
      <c r="F349" s="8">
        <v>351122.65299999999</v>
      </c>
      <c r="G349" s="8">
        <v>60409.692332119957</v>
      </c>
      <c r="H349" s="3">
        <v>17.20472655807826</v>
      </c>
      <c r="I349" s="58">
        <v>3.4859122726565099E-2</v>
      </c>
      <c r="J349" s="1"/>
    </row>
    <row r="350" spans="1:10" ht="14.15" customHeight="1" x14ac:dyDescent="0.4">
      <c r="A350" s="44" t="s">
        <v>284</v>
      </c>
      <c r="B350" s="2" t="s">
        <v>1022</v>
      </c>
      <c r="C350" s="2" t="s">
        <v>1023</v>
      </c>
      <c r="D350" s="43" t="s">
        <v>10</v>
      </c>
      <c r="E350" s="2" t="s">
        <v>10</v>
      </c>
      <c r="F350" s="8">
        <v>153838.60800000001</v>
      </c>
      <c r="G350" s="8">
        <v>51167.794730665373</v>
      </c>
      <c r="H350" s="3">
        <v>33.260697945645333</v>
      </c>
      <c r="I350" s="58">
        <v>2.9526130117626451E-2</v>
      </c>
      <c r="J350" s="1"/>
    </row>
    <row r="351" spans="1:10" ht="14.15" customHeight="1" x14ac:dyDescent="0.4">
      <c r="A351" s="44" t="s">
        <v>230</v>
      </c>
      <c r="B351" s="2" t="s">
        <v>1024</v>
      </c>
      <c r="C351" s="2" t="s">
        <v>1025</v>
      </c>
      <c r="D351" s="43" t="s">
        <v>21</v>
      </c>
      <c r="E351" s="2" t="s">
        <v>170</v>
      </c>
      <c r="F351" s="8">
        <v>1153283.031</v>
      </c>
      <c r="G351" s="8">
        <v>0</v>
      </c>
      <c r="H351" s="3">
        <v>0</v>
      </c>
      <c r="I351" s="58">
        <v>0</v>
      </c>
      <c r="J351" s="1"/>
    </row>
    <row r="352" spans="1:10" ht="14.15" customHeight="1" x14ac:dyDescent="0.4">
      <c r="A352" s="44" t="s">
        <v>145</v>
      </c>
      <c r="B352" s="2" t="s">
        <v>1026</v>
      </c>
      <c r="C352" s="2" t="s">
        <v>1027</v>
      </c>
      <c r="D352" s="43" t="s">
        <v>10</v>
      </c>
      <c r="E352" s="2" t="s">
        <v>10</v>
      </c>
      <c r="F352" s="8">
        <v>203893.87400000001</v>
      </c>
      <c r="G352" s="8">
        <v>4286.406771056294</v>
      </c>
      <c r="H352" s="3">
        <v>2.1022734459674322</v>
      </c>
      <c r="I352" s="58">
        <v>2.4734504335289231E-3</v>
      </c>
      <c r="J352" s="1"/>
    </row>
    <row r="353" spans="1:10" ht="14.15" customHeight="1" x14ac:dyDescent="0.4">
      <c r="A353" s="44" t="s">
        <v>188</v>
      </c>
      <c r="B353" s="2" t="s">
        <v>1028</v>
      </c>
      <c r="C353" s="2" t="s">
        <v>1029</v>
      </c>
      <c r="D353" s="43" t="s">
        <v>35</v>
      </c>
      <c r="E353" s="2" t="s">
        <v>35</v>
      </c>
      <c r="F353" s="8">
        <v>1096175.3629999999</v>
      </c>
      <c r="G353" s="8">
        <v>213774.84200057751</v>
      </c>
      <c r="H353" s="3">
        <v>19.50188347743202</v>
      </c>
      <c r="I353" s="58">
        <v>0.1233577455117736</v>
      </c>
      <c r="J353" s="1"/>
    </row>
    <row r="354" spans="1:10" ht="14.15" customHeight="1" x14ac:dyDescent="0.4">
      <c r="A354" s="44" t="s">
        <v>206</v>
      </c>
      <c r="B354" s="2" t="s">
        <v>1030</v>
      </c>
      <c r="C354" s="2" t="s">
        <v>1031</v>
      </c>
      <c r="D354" s="43" t="s">
        <v>35</v>
      </c>
      <c r="E354" s="2" t="s">
        <v>35</v>
      </c>
      <c r="F354" s="8">
        <v>3663148.9730000002</v>
      </c>
      <c r="G354" s="8">
        <v>1630243.88500354</v>
      </c>
      <c r="H354" s="3">
        <v>44.503892607687817</v>
      </c>
      <c r="I354" s="58">
        <v>0.94072440146089986</v>
      </c>
      <c r="J354" s="1"/>
    </row>
    <row r="355" spans="1:10" ht="14.15" customHeight="1" x14ac:dyDescent="0.4">
      <c r="A355" s="44" t="s">
        <v>310</v>
      </c>
      <c r="B355" s="2" t="s">
        <v>1032</v>
      </c>
      <c r="C355" s="2" t="s">
        <v>1033</v>
      </c>
      <c r="D355" s="43" t="s">
        <v>7</v>
      </c>
      <c r="E355" s="2" t="s">
        <v>7</v>
      </c>
      <c r="F355" s="8">
        <v>3498943.4890000001</v>
      </c>
      <c r="G355" s="8">
        <v>1031941.832920433</v>
      </c>
      <c r="H355" s="3">
        <v>29.492955121014599</v>
      </c>
      <c r="I355" s="58">
        <v>0.59547707680218054</v>
      </c>
      <c r="J355" s="1"/>
    </row>
    <row r="356" spans="1:10" ht="14.15" customHeight="1" x14ac:dyDescent="0.4">
      <c r="A356" s="44" t="s">
        <v>286</v>
      </c>
      <c r="B356" s="2" t="s">
        <v>1034</v>
      </c>
      <c r="C356" s="2" t="s">
        <v>1035</v>
      </c>
      <c r="D356" s="43" t="s">
        <v>1216</v>
      </c>
      <c r="E356" s="2" t="s">
        <v>707</v>
      </c>
      <c r="F356" s="8">
        <v>20769151.079</v>
      </c>
      <c r="G356" s="8">
        <v>11608907.58758115</v>
      </c>
      <c r="H356" s="3">
        <v>55.89495470192373</v>
      </c>
      <c r="I356" s="58">
        <v>6.6988643493169544</v>
      </c>
      <c r="J356" s="1"/>
    </row>
    <row r="357" spans="1:10" ht="14.15" customHeight="1" x14ac:dyDescent="0.4">
      <c r="A357" s="44" t="s">
        <v>145</v>
      </c>
      <c r="B357" s="2" t="s">
        <v>1036</v>
      </c>
      <c r="C357" s="2" t="s">
        <v>1037</v>
      </c>
      <c r="D357" s="43" t="s">
        <v>29</v>
      </c>
      <c r="E357" s="2" t="s">
        <v>29</v>
      </c>
      <c r="F357" s="8">
        <v>511338.78200000001</v>
      </c>
      <c r="G357" s="8">
        <v>876.43694287827316</v>
      </c>
      <c r="H357" s="3">
        <v>0.17140044403639099</v>
      </c>
      <c r="I357" s="58">
        <v>5.0574372711454415E-4</v>
      </c>
      <c r="J357" s="1"/>
    </row>
    <row r="358" spans="1:10" ht="14.15" customHeight="1" x14ac:dyDescent="0.4">
      <c r="A358" s="44" t="s">
        <v>145</v>
      </c>
      <c r="B358" s="2" t="s">
        <v>1038</v>
      </c>
      <c r="C358" s="2" t="s">
        <v>1039</v>
      </c>
      <c r="D358" s="43" t="s">
        <v>29</v>
      </c>
      <c r="E358" s="2" t="s">
        <v>29</v>
      </c>
      <c r="F358" s="8">
        <v>652004.84100000001</v>
      </c>
      <c r="G358" s="8">
        <v>592.90467599862768</v>
      </c>
      <c r="H358" s="3">
        <v>9.0935624816722432E-2</v>
      </c>
      <c r="I358" s="58">
        <v>3.4213279472044558E-4</v>
      </c>
      <c r="J358" s="1"/>
    </row>
    <row r="359" spans="1:10" ht="14.15" customHeight="1" x14ac:dyDescent="0.4">
      <c r="A359" s="44" t="s">
        <v>248</v>
      </c>
      <c r="B359" s="2" t="s">
        <v>1040</v>
      </c>
      <c r="C359" s="2" t="s">
        <v>1041</v>
      </c>
      <c r="D359" s="43" t="s">
        <v>1213</v>
      </c>
      <c r="E359" s="2" t="s">
        <v>423</v>
      </c>
      <c r="F359" s="8">
        <v>139255.80100000001</v>
      </c>
      <c r="G359" s="8">
        <v>4606.2996114776925</v>
      </c>
      <c r="H359" s="3">
        <v>3.3077972898792858</v>
      </c>
      <c r="I359" s="58">
        <v>2.6580430601937321E-3</v>
      </c>
      <c r="J359" s="1"/>
    </row>
    <row r="360" spans="1:10" ht="14.15" customHeight="1" x14ac:dyDescent="0.4">
      <c r="A360" s="44" t="s">
        <v>232</v>
      </c>
      <c r="B360" s="2" t="s">
        <v>1042</v>
      </c>
      <c r="C360" s="2" t="s">
        <v>1043</v>
      </c>
      <c r="D360" s="43" t="s">
        <v>1211</v>
      </c>
      <c r="E360" s="2" t="s">
        <v>359</v>
      </c>
      <c r="F360" s="8">
        <v>802890.64400000009</v>
      </c>
      <c r="G360" s="8">
        <v>229228.2712235582</v>
      </c>
      <c r="H360" s="3">
        <v>28.55037269852134</v>
      </c>
      <c r="I360" s="58">
        <v>0.13227507260009161</v>
      </c>
      <c r="J360" s="1"/>
    </row>
    <row r="361" spans="1:10" ht="14.15" customHeight="1" x14ac:dyDescent="0.4">
      <c r="A361" s="44" t="s">
        <v>190</v>
      </c>
      <c r="B361" s="2" t="s">
        <v>1044</v>
      </c>
      <c r="C361" s="2" t="s">
        <v>1045</v>
      </c>
      <c r="D361" s="43" t="s">
        <v>1208</v>
      </c>
      <c r="E361" s="2" t="s">
        <v>409</v>
      </c>
      <c r="F361" s="8">
        <v>2505609.892</v>
      </c>
      <c r="G361" s="8">
        <v>9751.148489070154</v>
      </c>
      <c r="H361" s="3">
        <v>0.38917265294186332</v>
      </c>
      <c r="I361" s="58">
        <v>5.6268533869807836E-3</v>
      </c>
      <c r="J361" s="1"/>
    </row>
    <row r="362" spans="1:10" ht="14.15" customHeight="1" x14ac:dyDescent="0.4">
      <c r="A362" s="44" t="s">
        <v>216</v>
      </c>
      <c r="B362" s="2" t="s">
        <v>1046</v>
      </c>
      <c r="C362" s="2" t="s">
        <v>1047</v>
      </c>
      <c r="D362" s="43" t="s">
        <v>1217</v>
      </c>
      <c r="E362" s="2" t="s">
        <v>7</v>
      </c>
      <c r="F362" s="8">
        <v>12202.772000000001</v>
      </c>
      <c r="G362" s="8">
        <v>7.5066924323598947</v>
      </c>
      <c r="H362" s="3">
        <v>6.1516288531490167E-2</v>
      </c>
      <c r="I362" s="58">
        <v>4.331700802771296E-6</v>
      </c>
      <c r="J362" s="1"/>
    </row>
    <row r="363" spans="1:10" ht="14.15" customHeight="1" x14ac:dyDescent="0.4">
      <c r="A363" s="44" t="s">
        <v>248</v>
      </c>
      <c r="B363" s="2" t="s">
        <v>1048</v>
      </c>
      <c r="C363" s="2" t="s">
        <v>1049</v>
      </c>
      <c r="D363" s="43" t="s">
        <v>10</v>
      </c>
      <c r="E363" s="2" t="s">
        <v>10</v>
      </c>
      <c r="F363" s="8">
        <v>78461.315000000002</v>
      </c>
      <c r="G363" s="8">
        <v>5460.9131563782639</v>
      </c>
      <c r="H363" s="3">
        <v>6.9600071785417619</v>
      </c>
      <c r="I363" s="58">
        <v>3.1511937003540691E-3</v>
      </c>
      <c r="J363" s="1"/>
    </row>
    <row r="364" spans="1:10" ht="14.15" customHeight="1" x14ac:dyDescent="0.4">
      <c r="A364" s="44" t="s">
        <v>246</v>
      </c>
      <c r="B364" s="2" t="s">
        <v>1050</v>
      </c>
      <c r="C364" s="2" t="s">
        <v>1051</v>
      </c>
      <c r="D364" s="43" t="s">
        <v>35</v>
      </c>
      <c r="E364" s="2" t="s">
        <v>35</v>
      </c>
      <c r="F364" s="8">
        <v>708060.65</v>
      </c>
      <c r="G364" s="8">
        <v>87285.674984026555</v>
      </c>
      <c r="H364" s="3">
        <v>12.32742915229459</v>
      </c>
      <c r="I364" s="58">
        <v>5.0367779392272181E-2</v>
      </c>
      <c r="J364" s="1"/>
    </row>
    <row r="365" spans="1:10" ht="14.15" customHeight="1" x14ac:dyDescent="0.4">
      <c r="A365" s="44" t="s">
        <v>300</v>
      </c>
      <c r="B365" s="2" t="s">
        <v>1052</v>
      </c>
      <c r="C365" s="2" t="s">
        <v>1053</v>
      </c>
      <c r="D365" s="43" t="s">
        <v>21</v>
      </c>
      <c r="E365" s="2" t="s">
        <v>170</v>
      </c>
      <c r="F365" s="8">
        <v>748927.15899999999</v>
      </c>
      <c r="G365" s="8">
        <v>0</v>
      </c>
      <c r="H365" s="3">
        <v>0</v>
      </c>
      <c r="I365" s="58">
        <v>0</v>
      </c>
      <c r="J365" s="1"/>
    </row>
    <row r="366" spans="1:10" ht="14.15" customHeight="1" x14ac:dyDescent="0.4">
      <c r="A366" s="44" t="s">
        <v>163</v>
      </c>
      <c r="B366" s="2" t="s">
        <v>1054</v>
      </c>
      <c r="C366" s="2" t="s">
        <v>1055</v>
      </c>
      <c r="D366" s="43" t="s">
        <v>1211</v>
      </c>
      <c r="E366" s="2" t="s">
        <v>29</v>
      </c>
      <c r="F366" s="8">
        <v>2825711.5120000001</v>
      </c>
      <c r="G366" s="8">
        <v>305371.83627588447</v>
      </c>
      <c r="H366" s="3">
        <v>10.806900668346939</v>
      </c>
      <c r="I366" s="58">
        <v>0.17621335098767979</v>
      </c>
      <c r="J366" s="1"/>
    </row>
    <row r="367" spans="1:10" ht="14.15" customHeight="1" x14ac:dyDescent="0.4">
      <c r="A367" s="44" t="s">
        <v>240</v>
      </c>
      <c r="B367" s="2" t="s">
        <v>1056</v>
      </c>
      <c r="C367" s="2" t="s">
        <v>1057</v>
      </c>
      <c r="D367" s="43" t="s">
        <v>10</v>
      </c>
      <c r="E367" s="2" t="s">
        <v>10</v>
      </c>
      <c r="F367" s="8">
        <v>227614.53700000001</v>
      </c>
      <c r="G367" s="8">
        <v>16151.85260239942</v>
      </c>
      <c r="H367" s="3">
        <v>7.0961428102456479</v>
      </c>
      <c r="I367" s="58">
        <v>9.3203489438906158E-3</v>
      </c>
      <c r="J367" s="1"/>
    </row>
    <row r="368" spans="1:10" ht="14.15" customHeight="1" x14ac:dyDescent="0.4">
      <c r="A368" s="44" t="s">
        <v>198</v>
      </c>
      <c r="B368" s="2" t="s">
        <v>1058</v>
      </c>
      <c r="C368" s="2" t="s">
        <v>1059</v>
      </c>
      <c r="D368" s="43" t="s">
        <v>35</v>
      </c>
      <c r="E368" s="2" t="s">
        <v>35</v>
      </c>
      <c r="F368" s="8">
        <v>1439093.4820000001</v>
      </c>
      <c r="G368" s="8">
        <v>776650.34167509258</v>
      </c>
      <c r="H368" s="3">
        <v>53.968025801613109</v>
      </c>
      <c r="I368" s="58">
        <v>0.44816234830724028</v>
      </c>
      <c r="J368" s="1"/>
    </row>
    <row r="369" spans="1:10" ht="14.15" customHeight="1" x14ac:dyDescent="0.4">
      <c r="A369" s="44" t="s">
        <v>143</v>
      </c>
      <c r="B369" s="2" t="s">
        <v>1060</v>
      </c>
      <c r="C369" s="2" t="s">
        <v>1061</v>
      </c>
      <c r="D369" s="43" t="s">
        <v>29</v>
      </c>
      <c r="E369" s="2" t="s">
        <v>29</v>
      </c>
      <c r="F369" s="8">
        <v>763495.01699999999</v>
      </c>
      <c r="G369" s="8">
        <v>82576.103269101455</v>
      </c>
      <c r="H369" s="3">
        <v>10.815539254410281</v>
      </c>
      <c r="I369" s="58">
        <v>4.7650143660946942E-2</v>
      </c>
      <c r="J369" s="1"/>
    </row>
    <row r="370" spans="1:10" ht="14.15" customHeight="1" x14ac:dyDescent="0.4">
      <c r="A370" s="44" t="s">
        <v>224</v>
      </c>
      <c r="B370" s="2" t="s">
        <v>1062</v>
      </c>
      <c r="C370" s="2" t="s">
        <v>1063</v>
      </c>
      <c r="D370" s="43" t="s">
        <v>7</v>
      </c>
      <c r="E370" s="2" t="s">
        <v>7</v>
      </c>
      <c r="F370" s="8">
        <v>10098579.842</v>
      </c>
      <c r="G370" s="8">
        <v>4879859.4900162444</v>
      </c>
      <c r="H370" s="3">
        <v>48.322235070330443</v>
      </c>
      <c r="I370" s="58">
        <v>2.8158994738071699</v>
      </c>
      <c r="J370" s="1"/>
    </row>
    <row r="371" spans="1:10" ht="14.15" customHeight="1" x14ac:dyDescent="0.4">
      <c r="A371" s="44" t="s">
        <v>308</v>
      </c>
      <c r="B371" s="2" t="s">
        <v>1064</v>
      </c>
      <c r="C371" s="2" t="s">
        <v>1065</v>
      </c>
      <c r="D371" s="43" t="s">
        <v>29</v>
      </c>
      <c r="E371" s="2" t="s">
        <v>29</v>
      </c>
      <c r="F371" s="8">
        <v>162957.54500000001</v>
      </c>
      <c r="G371" s="8">
        <v>76845.285292789849</v>
      </c>
      <c r="H371" s="3">
        <v>47.15662922682705</v>
      </c>
      <c r="I371" s="58">
        <v>4.4343202680987133E-2</v>
      </c>
      <c r="J371" s="1"/>
    </row>
    <row r="372" spans="1:10" ht="14.15" customHeight="1" x14ac:dyDescent="0.4">
      <c r="A372" s="44" t="s">
        <v>184</v>
      </c>
      <c r="B372" s="2" t="s">
        <v>1066</v>
      </c>
      <c r="C372" s="2" t="s">
        <v>1067</v>
      </c>
      <c r="D372" s="43" t="s">
        <v>29</v>
      </c>
      <c r="E372" s="2" t="s">
        <v>29</v>
      </c>
      <c r="F372" s="8">
        <v>2076208.4580000001</v>
      </c>
      <c r="G372" s="8">
        <v>197456.00984328531</v>
      </c>
      <c r="H372" s="3">
        <v>9.5104135176047535</v>
      </c>
      <c r="I372" s="58">
        <v>0.1139410418179724</v>
      </c>
      <c r="J372" s="1"/>
    </row>
    <row r="373" spans="1:10" ht="14.15" customHeight="1" x14ac:dyDescent="0.4">
      <c r="A373" s="44" t="s">
        <v>143</v>
      </c>
      <c r="B373" s="2" t="s">
        <v>1068</v>
      </c>
      <c r="C373" s="2" t="s">
        <v>1069</v>
      </c>
      <c r="D373" s="43" t="s">
        <v>29</v>
      </c>
      <c r="E373" s="2" t="s">
        <v>29</v>
      </c>
      <c r="F373" s="8">
        <v>466275.28</v>
      </c>
      <c r="G373" s="8">
        <v>1053.6567336124961</v>
      </c>
      <c r="H373" s="3">
        <v>0.2259731061900806</v>
      </c>
      <c r="I373" s="58">
        <v>6.080075559189782E-4</v>
      </c>
      <c r="J373" s="1"/>
    </row>
    <row r="374" spans="1:10" ht="14.15" customHeight="1" x14ac:dyDescent="0.4">
      <c r="A374" s="44" t="s">
        <v>240</v>
      </c>
      <c r="B374" s="2" t="s">
        <v>1070</v>
      </c>
      <c r="C374" s="2" t="s">
        <v>1071</v>
      </c>
      <c r="D374" s="43" t="s">
        <v>10</v>
      </c>
      <c r="E374" s="2" t="s">
        <v>10</v>
      </c>
      <c r="F374" s="8">
        <v>232750.31099999999</v>
      </c>
      <c r="G374" s="8">
        <v>6846.0179858983474</v>
      </c>
      <c r="H374" s="3">
        <v>2.9413571807851842</v>
      </c>
      <c r="I374" s="58">
        <v>3.9504617875998323E-3</v>
      </c>
      <c r="J374" s="1"/>
    </row>
    <row r="375" spans="1:10" ht="14.15" customHeight="1" x14ac:dyDescent="0.4">
      <c r="A375" s="44" t="s">
        <v>240</v>
      </c>
      <c r="B375" s="2" t="s">
        <v>1072</v>
      </c>
      <c r="C375" s="2" t="s">
        <v>1073</v>
      </c>
      <c r="D375" s="43" t="s">
        <v>10</v>
      </c>
      <c r="E375" s="2" t="s">
        <v>10</v>
      </c>
      <c r="F375" s="8">
        <v>83180.937000000005</v>
      </c>
      <c r="G375" s="8">
        <v>63444.997245223509</v>
      </c>
      <c r="H375" s="3">
        <v>76.273482282633466</v>
      </c>
      <c r="I375" s="58">
        <v>3.6610630843784298E-2</v>
      </c>
      <c r="J375" s="1"/>
    </row>
    <row r="376" spans="1:10" ht="14.15" customHeight="1" x14ac:dyDescent="0.4">
      <c r="A376" s="44" t="s">
        <v>234</v>
      </c>
      <c r="B376" s="2" t="s">
        <v>1074</v>
      </c>
      <c r="C376" s="2" t="s">
        <v>1075</v>
      </c>
      <c r="D376" s="43" t="s">
        <v>1213</v>
      </c>
      <c r="E376" s="2" t="s">
        <v>423</v>
      </c>
      <c r="F376" s="8">
        <v>2007349.702</v>
      </c>
      <c r="G376" s="8">
        <v>36241.087746634963</v>
      </c>
      <c r="H376" s="3">
        <v>1.8054197387992019</v>
      </c>
      <c r="I376" s="58">
        <v>2.0912745566698511E-2</v>
      </c>
      <c r="J376" s="1"/>
    </row>
    <row r="377" spans="1:10" ht="14.15" customHeight="1" x14ac:dyDescent="0.4">
      <c r="A377" s="44" t="s">
        <v>137</v>
      </c>
      <c r="B377" s="2" t="s">
        <v>1076</v>
      </c>
      <c r="C377" s="2" t="s">
        <v>1077</v>
      </c>
      <c r="D377" s="43" t="s">
        <v>37</v>
      </c>
      <c r="E377" s="2" t="s">
        <v>37</v>
      </c>
      <c r="F377" s="8">
        <v>519866.34</v>
      </c>
      <c r="G377" s="8">
        <v>258956.956019134</v>
      </c>
      <c r="H377" s="3">
        <v>49.812218275015461</v>
      </c>
      <c r="I377" s="58">
        <v>0.14942986733221669</v>
      </c>
      <c r="J377" s="1"/>
    </row>
    <row r="378" spans="1:10" ht="14.15" customHeight="1" x14ac:dyDescent="0.4">
      <c r="A378" s="44" t="s">
        <v>262</v>
      </c>
      <c r="B378" s="2" t="s">
        <v>1078</v>
      </c>
      <c r="C378" s="2" t="s">
        <v>1079</v>
      </c>
      <c r="D378" s="43" t="s">
        <v>37</v>
      </c>
      <c r="E378" s="2" t="s">
        <v>37</v>
      </c>
      <c r="F378" s="8">
        <v>1890508.9029999999</v>
      </c>
      <c r="G378" s="8">
        <v>62524.056488533053</v>
      </c>
      <c r="H378" s="3">
        <v>3.3072606211647679</v>
      </c>
      <c r="I378" s="58">
        <v>3.6079206404724562E-2</v>
      </c>
      <c r="J378" s="1"/>
    </row>
    <row r="379" spans="1:10" ht="14.15" customHeight="1" x14ac:dyDescent="0.4">
      <c r="A379" s="44" t="s">
        <v>274</v>
      </c>
      <c r="B379" s="2" t="s">
        <v>1080</v>
      </c>
      <c r="C379" s="2" t="s">
        <v>1081</v>
      </c>
      <c r="D379" s="43" t="s">
        <v>37</v>
      </c>
      <c r="E379" s="2" t="s">
        <v>37</v>
      </c>
      <c r="F379" s="8">
        <v>2356146.6970000002</v>
      </c>
      <c r="G379" s="8">
        <v>53391.940486576241</v>
      </c>
      <c r="H379" s="3">
        <v>2.2660702983629308</v>
      </c>
      <c r="I379" s="58">
        <v>3.0809562740338921E-2</v>
      </c>
      <c r="J379" s="1"/>
    </row>
    <row r="380" spans="1:10" ht="14.15" customHeight="1" x14ac:dyDescent="0.4">
      <c r="A380" s="44" t="s">
        <v>248</v>
      </c>
      <c r="B380" s="2" t="s">
        <v>1082</v>
      </c>
      <c r="C380" s="2" t="s">
        <v>1083</v>
      </c>
      <c r="D380" s="43" t="s">
        <v>10</v>
      </c>
      <c r="E380" s="2" t="s">
        <v>10</v>
      </c>
      <c r="F380" s="8">
        <v>473824.79599999997</v>
      </c>
      <c r="G380" s="8">
        <v>54479.202467668547</v>
      </c>
      <c r="H380" s="3">
        <v>11.49775252953806</v>
      </c>
      <c r="I380" s="58">
        <v>3.1436962042862317E-2</v>
      </c>
      <c r="J380" s="1"/>
    </row>
    <row r="381" spans="1:10" ht="14.15" customHeight="1" x14ac:dyDescent="0.4">
      <c r="A381" s="44" t="s">
        <v>176</v>
      </c>
      <c r="B381" s="2" t="s">
        <v>1084</v>
      </c>
      <c r="C381" s="2" t="s">
        <v>1085</v>
      </c>
      <c r="D381" s="43" t="s">
        <v>1213</v>
      </c>
      <c r="E381" s="2" t="s">
        <v>10</v>
      </c>
      <c r="F381" s="8">
        <v>1151637.2139999999</v>
      </c>
      <c r="G381" s="8">
        <v>12263.317183473329</v>
      </c>
      <c r="H381" s="3">
        <v>1.0648594048883631</v>
      </c>
      <c r="I381" s="58">
        <v>7.0764882625663503E-3</v>
      </c>
      <c r="J381" s="1"/>
    </row>
    <row r="382" spans="1:10" ht="14.15" customHeight="1" x14ac:dyDescent="0.4">
      <c r="A382" s="44" t="s">
        <v>234</v>
      </c>
      <c r="B382" s="2" t="s">
        <v>1086</v>
      </c>
      <c r="C382" s="2" t="s">
        <v>1087</v>
      </c>
      <c r="D382" s="43" t="s">
        <v>1213</v>
      </c>
      <c r="E382" s="2" t="s">
        <v>423</v>
      </c>
      <c r="F382" s="8">
        <v>2492084.7659999998</v>
      </c>
      <c r="G382" s="8">
        <v>89572.861754592814</v>
      </c>
      <c r="H382" s="3">
        <v>3.5942943424980109</v>
      </c>
      <c r="I382" s="58">
        <v>5.1687589529615878E-2</v>
      </c>
      <c r="J382" s="1"/>
    </row>
    <row r="383" spans="1:10" ht="14.15" customHeight="1" x14ac:dyDescent="0.4">
      <c r="A383" s="44" t="s">
        <v>234</v>
      </c>
      <c r="B383" s="2" t="s">
        <v>1088</v>
      </c>
      <c r="C383" s="2" t="s">
        <v>1089</v>
      </c>
      <c r="D383" s="43" t="s">
        <v>10</v>
      </c>
      <c r="E383" s="2" t="s">
        <v>10</v>
      </c>
      <c r="F383" s="8">
        <v>479470.77299999999</v>
      </c>
      <c r="G383" s="8">
        <v>30707.970465782091</v>
      </c>
      <c r="H383" s="3">
        <v>6.4045552294346191</v>
      </c>
      <c r="I383" s="58">
        <v>1.7719886823215489E-2</v>
      </c>
      <c r="J383" s="1"/>
    </row>
    <row r="384" spans="1:10" ht="14.15" customHeight="1" x14ac:dyDescent="0.4">
      <c r="A384" s="44" t="s">
        <v>306</v>
      </c>
      <c r="B384" s="2" t="s">
        <v>305</v>
      </c>
      <c r="C384" s="2" t="s">
        <v>1090</v>
      </c>
      <c r="D384" s="43" t="s">
        <v>7</v>
      </c>
      <c r="E384" s="2" t="s">
        <v>7</v>
      </c>
      <c r="F384" s="8">
        <v>844771.08299999998</v>
      </c>
      <c r="G384" s="8">
        <v>396540.48245819448</v>
      </c>
      <c r="H384" s="3">
        <v>46.940584311903407</v>
      </c>
      <c r="I384" s="58">
        <v>0.22882178025448721</v>
      </c>
      <c r="J384" s="1"/>
    </row>
    <row r="385" spans="1:10" ht="14.15" customHeight="1" x14ac:dyDescent="0.4">
      <c r="A385" s="44" t="s">
        <v>264</v>
      </c>
      <c r="B385" s="2" t="s">
        <v>1091</v>
      </c>
      <c r="C385" s="2" t="s">
        <v>1092</v>
      </c>
      <c r="D385" s="43" t="s">
        <v>35</v>
      </c>
      <c r="E385" s="2" t="s">
        <v>35</v>
      </c>
      <c r="F385" s="8">
        <v>1032164.898</v>
      </c>
      <c r="G385" s="8">
        <v>4289.0251081381239</v>
      </c>
      <c r="H385" s="3">
        <v>0.41553681165178741</v>
      </c>
      <c r="I385" s="58">
        <v>2.4749613323623949E-3</v>
      </c>
      <c r="J385" s="1"/>
    </row>
    <row r="386" spans="1:10" ht="14.15" customHeight="1" x14ac:dyDescent="0.4">
      <c r="A386" s="44" t="s">
        <v>266</v>
      </c>
      <c r="B386" s="2" t="s">
        <v>1093</v>
      </c>
      <c r="C386" s="2" t="s">
        <v>1094</v>
      </c>
      <c r="D386" s="43" t="s">
        <v>37</v>
      </c>
      <c r="E386" s="2" t="s">
        <v>37</v>
      </c>
      <c r="F386" s="8">
        <v>264442.92099999997</v>
      </c>
      <c r="G386" s="8">
        <v>16632.96053166642</v>
      </c>
      <c r="H386" s="3">
        <v>6.289811226093069</v>
      </c>
      <c r="I386" s="58">
        <v>9.5979699630283806E-3</v>
      </c>
      <c r="J386" s="1"/>
    </row>
    <row r="387" spans="1:10" ht="14.15" customHeight="1" x14ac:dyDescent="0.4">
      <c r="A387" s="44" t="s">
        <v>240</v>
      </c>
      <c r="B387" s="2" t="s">
        <v>1095</v>
      </c>
      <c r="C387" s="2" t="s">
        <v>1096</v>
      </c>
      <c r="D387" s="43" t="s">
        <v>10</v>
      </c>
      <c r="E387" s="2" t="s">
        <v>10</v>
      </c>
      <c r="F387" s="8">
        <v>59376.618999999999</v>
      </c>
      <c r="G387" s="8">
        <v>46897.436166521373</v>
      </c>
      <c r="H387" s="3">
        <v>78.98300199026383</v>
      </c>
      <c r="I387" s="58">
        <v>2.7061940224793898E-2</v>
      </c>
      <c r="J387" s="1"/>
    </row>
    <row r="388" spans="1:10" ht="14.15" customHeight="1" x14ac:dyDescent="0.4">
      <c r="A388" s="44" t="s">
        <v>226</v>
      </c>
      <c r="B388" s="2" t="s">
        <v>1097</v>
      </c>
      <c r="C388" s="2" t="s">
        <v>1098</v>
      </c>
      <c r="D388" s="43" t="s">
        <v>21</v>
      </c>
      <c r="E388" s="2" t="s">
        <v>21</v>
      </c>
      <c r="F388" s="8">
        <v>1092782.2</v>
      </c>
      <c r="G388" s="8">
        <v>162427.24436017629</v>
      </c>
      <c r="H388" s="3">
        <v>14.8636429436878</v>
      </c>
      <c r="I388" s="58">
        <v>9.3727860988933195E-2</v>
      </c>
      <c r="J388" s="1"/>
    </row>
    <row r="389" spans="1:10" ht="14.15" customHeight="1" x14ac:dyDescent="0.4">
      <c r="A389" s="44" t="s">
        <v>161</v>
      </c>
      <c r="B389" s="2" t="s">
        <v>1099</v>
      </c>
      <c r="C389" s="2" t="s">
        <v>1100</v>
      </c>
      <c r="D389" s="43" t="s">
        <v>35</v>
      </c>
      <c r="E389" s="2" t="s">
        <v>35</v>
      </c>
      <c r="F389" s="8">
        <v>423360.37800000003</v>
      </c>
      <c r="G389" s="8">
        <v>312507.62583147991</v>
      </c>
      <c r="H389" s="3">
        <v>73.815983278312331</v>
      </c>
      <c r="I389" s="58">
        <v>0.18033102406738821</v>
      </c>
      <c r="J389" s="1"/>
    </row>
    <row r="390" spans="1:10" ht="14.15" customHeight="1" x14ac:dyDescent="0.4">
      <c r="A390" s="44" t="s">
        <v>151</v>
      </c>
      <c r="B390" s="2" t="s">
        <v>1101</v>
      </c>
      <c r="C390" s="2" t="s">
        <v>1102</v>
      </c>
      <c r="D390" s="43" t="s">
        <v>29</v>
      </c>
      <c r="E390" s="2" t="s">
        <v>29</v>
      </c>
      <c r="F390" s="8">
        <v>2848753.4649999999</v>
      </c>
      <c r="G390" s="8">
        <v>843092.04510652437</v>
      </c>
      <c r="H390" s="3">
        <v>29.595121356228859</v>
      </c>
      <c r="I390" s="58">
        <v>0.48650221405833349</v>
      </c>
      <c r="J390" s="1"/>
    </row>
    <row r="391" spans="1:10" ht="14.15" customHeight="1" x14ac:dyDescent="0.4">
      <c r="A391" s="44" t="s">
        <v>212</v>
      </c>
      <c r="B391" s="2" t="s">
        <v>1103</v>
      </c>
      <c r="C391" s="2" t="s">
        <v>1104</v>
      </c>
      <c r="D391" s="43" t="s">
        <v>29</v>
      </c>
      <c r="E391" s="2" t="s">
        <v>29</v>
      </c>
      <c r="F391" s="8">
        <v>124892.955</v>
      </c>
      <c r="G391" s="8">
        <v>124892.9554794053</v>
      </c>
      <c r="H391" s="3">
        <v>100.00000038385301</v>
      </c>
      <c r="I391" s="58">
        <v>7.2068879920866136E-2</v>
      </c>
      <c r="J391" s="1"/>
    </row>
    <row r="392" spans="1:10" ht="14.15" customHeight="1" x14ac:dyDescent="0.4">
      <c r="A392" s="44" t="s">
        <v>145</v>
      </c>
      <c r="B392" s="2" t="s">
        <v>1105</v>
      </c>
      <c r="C392" s="2" t="s">
        <v>1106</v>
      </c>
      <c r="D392" s="43" t="s">
        <v>29</v>
      </c>
      <c r="E392" s="2" t="s">
        <v>170</v>
      </c>
      <c r="F392" s="8">
        <v>966510.25300000003</v>
      </c>
      <c r="G392" s="8">
        <v>0</v>
      </c>
      <c r="H392" s="3">
        <v>0</v>
      </c>
      <c r="I392" s="58">
        <v>0</v>
      </c>
      <c r="J392" s="1"/>
    </row>
    <row r="393" spans="1:10" ht="14.15" customHeight="1" x14ac:dyDescent="0.4">
      <c r="A393" s="44" t="s">
        <v>133</v>
      </c>
      <c r="B393" s="2" t="s">
        <v>1107</v>
      </c>
      <c r="C393" s="2" t="s">
        <v>1108</v>
      </c>
      <c r="D393" s="43" t="s">
        <v>21</v>
      </c>
      <c r="E393" s="2" t="s">
        <v>21</v>
      </c>
      <c r="F393" s="8">
        <v>52719.968000000001</v>
      </c>
      <c r="G393" s="8">
        <v>52719.967932504711</v>
      </c>
      <c r="H393" s="3">
        <v>99.999999871973955</v>
      </c>
      <c r="I393" s="58">
        <v>3.0421804206452002E-2</v>
      </c>
      <c r="J393" s="1"/>
    </row>
    <row r="394" spans="1:10" ht="14.15" customHeight="1" x14ac:dyDescent="0.4">
      <c r="A394" s="44" t="s">
        <v>298</v>
      </c>
      <c r="B394" s="2" t="s">
        <v>1109</v>
      </c>
      <c r="C394" s="2" t="s">
        <v>1110</v>
      </c>
      <c r="D394" s="43" t="s">
        <v>57</v>
      </c>
      <c r="E394" s="2" t="s">
        <v>57</v>
      </c>
      <c r="F394" s="8">
        <v>1565077.425</v>
      </c>
      <c r="G394" s="8">
        <v>1350553.6304569161</v>
      </c>
      <c r="H394" s="3">
        <v>86.293087414312168</v>
      </c>
      <c r="I394" s="58">
        <v>0.77933048382492121</v>
      </c>
      <c r="J394" s="1"/>
    </row>
    <row r="395" spans="1:10" ht="14.15" customHeight="1" x14ac:dyDescent="0.4">
      <c r="A395" s="44" t="s">
        <v>234</v>
      </c>
      <c r="B395" s="2" t="s">
        <v>1111</v>
      </c>
      <c r="C395" s="2" t="s">
        <v>1112</v>
      </c>
      <c r="D395" s="43" t="s">
        <v>29</v>
      </c>
      <c r="E395" s="2" t="s">
        <v>29</v>
      </c>
      <c r="F395" s="8">
        <v>1991193.544</v>
      </c>
      <c r="G395" s="8">
        <v>26909.754974521271</v>
      </c>
      <c r="H395" s="3">
        <v>1.351438440306699</v>
      </c>
      <c r="I395" s="58">
        <v>1.552814482221538E-2</v>
      </c>
      <c r="J395" s="1"/>
    </row>
    <row r="396" spans="1:10" ht="14.15" customHeight="1" x14ac:dyDescent="0.4">
      <c r="A396" s="44" t="s">
        <v>234</v>
      </c>
      <c r="B396" s="2" t="s">
        <v>1113</v>
      </c>
      <c r="C396" s="2" t="s">
        <v>1114</v>
      </c>
      <c r="D396" s="43" t="s">
        <v>29</v>
      </c>
      <c r="E396" s="2" t="s">
        <v>170</v>
      </c>
      <c r="F396" s="8">
        <v>2852103.9720000001</v>
      </c>
      <c r="G396" s="8">
        <v>0</v>
      </c>
      <c r="H396" s="3">
        <v>0</v>
      </c>
      <c r="I396" s="58">
        <v>0</v>
      </c>
      <c r="J396" s="1"/>
    </row>
    <row r="397" spans="1:10" ht="14.15" customHeight="1" x14ac:dyDescent="0.4">
      <c r="A397" s="44" t="s">
        <v>234</v>
      </c>
      <c r="B397" s="2" t="s">
        <v>1115</v>
      </c>
      <c r="C397" s="2" t="s">
        <v>1116</v>
      </c>
      <c r="D397" s="43" t="s">
        <v>1213</v>
      </c>
      <c r="E397" s="2" t="s">
        <v>423</v>
      </c>
      <c r="F397" s="8">
        <v>4790086.5260000005</v>
      </c>
      <c r="G397" s="8">
        <v>235768.16432757111</v>
      </c>
      <c r="H397" s="3">
        <v>4.9220022028381019</v>
      </c>
      <c r="I397" s="58">
        <v>0.13604888649535271</v>
      </c>
      <c r="J397" s="1"/>
    </row>
    <row r="398" spans="1:10" ht="14.15" customHeight="1" x14ac:dyDescent="0.4">
      <c r="A398" s="44" t="s">
        <v>228</v>
      </c>
      <c r="B398" s="2" t="s">
        <v>1117</v>
      </c>
      <c r="C398" s="2" t="s">
        <v>1118</v>
      </c>
      <c r="D398" s="43" t="s">
        <v>7</v>
      </c>
      <c r="E398" s="2" t="s">
        <v>7</v>
      </c>
      <c r="F398" s="8">
        <v>3981719.81</v>
      </c>
      <c r="G398" s="8">
        <v>608505.34709386877</v>
      </c>
      <c r="H398" s="3">
        <v>15.28247531545593</v>
      </c>
      <c r="I398" s="58">
        <v>0.35113508702373941</v>
      </c>
      <c r="J398" s="1"/>
    </row>
    <row r="399" spans="1:10" ht="14.15" customHeight="1" x14ac:dyDescent="0.4">
      <c r="A399" s="44" t="s">
        <v>236</v>
      </c>
      <c r="B399" s="2" t="s">
        <v>1119</v>
      </c>
      <c r="C399" s="2" t="s">
        <v>1120</v>
      </c>
      <c r="D399" s="43" t="s">
        <v>7</v>
      </c>
      <c r="E399" s="2" t="s">
        <v>7</v>
      </c>
      <c r="F399" s="8">
        <v>6985514.0410000002</v>
      </c>
      <c r="G399" s="8">
        <v>449825.42991746799</v>
      </c>
      <c r="H399" s="3">
        <v>6.4394034179490953</v>
      </c>
      <c r="I399" s="58">
        <v>0.25956960318246081</v>
      </c>
      <c r="J399" s="1"/>
    </row>
    <row r="400" spans="1:10" ht="14.15" customHeight="1" x14ac:dyDescent="0.4">
      <c r="A400" s="44" t="s">
        <v>234</v>
      </c>
      <c r="B400" s="2" t="s">
        <v>1121</v>
      </c>
      <c r="C400" s="2" t="s">
        <v>1122</v>
      </c>
      <c r="D400" s="43" t="s">
        <v>10</v>
      </c>
      <c r="E400" s="2" t="s">
        <v>10</v>
      </c>
      <c r="F400" s="8">
        <v>1074308.7080000001</v>
      </c>
      <c r="G400" s="8">
        <v>64746.363307132837</v>
      </c>
      <c r="H400" s="3">
        <v>6.0267931205424832</v>
      </c>
      <c r="I400" s="58">
        <v>3.73615778774967E-2</v>
      </c>
      <c r="J400" s="1"/>
    </row>
    <row r="401" spans="1:10" ht="14.15" customHeight="1" x14ac:dyDescent="0.4">
      <c r="A401" s="44" t="s">
        <v>159</v>
      </c>
      <c r="B401" s="2" t="s">
        <v>1123</v>
      </c>
      <c r="C401" s="2" t="s">
        <v>1124</v>
      </c>
      <c r="D401" s="43" t="s">
        <v>29</v>
      </c>
      <c r="E401" s="2" t="s">
        <v>29</v>
      </c>
      <c r="F401" s="8">
        <v>89179.335999999996</v>
      </c>
      <c r="G401" s="8">
        <v>66672.099269440514</v>
      </c>
      <c r="H401" s="3">
        <v>74.761825171517899</v>
      </c>
      <c r="I401" s="58">
        <v>3.8472814562497161E-2</v>
      </c>
      <c r="J401" s="1"/>
    </row>
    <row r="402" spans="1:10" ht="14.15" customHeight="1" x14ac:dyDescent="0.4">
      <c r="A402" s="44" t="s">
        <v>176</v>
      </c>
      <c r="B402" s="2" t="s">
        <v>1125</v>
      </c>
      <c r="C402" s="2" t="s">
        <v>1126</v>
      </c>
      <c r="D402" s="43" t="s">
        <v>10</v>
      </c>
      <c r="E402" s="2" t="s">
        <v>10</v>
      </c>
      <c r="F402" s="8">
        <v>504561.53</v>
      </c>
      <c r="G402" s="8">
        <v>63307.269768051628</v>
      </c>
      <c r="H402" s="3">
        <v>12.54698703804304</v>
      </c>
      <c r="I402" s="58">
        <v>3.6531155864783248E-2</v>
      </c>
      <c r="J402" s="1"/>
    </row>
    <row r="403" spans="1:10" ht="14.15" customHeight="1" x14ac:dyDescent="0.4">
      <c r="A403" s="44" t="s">
        <v>194</v>
      </c>
      <c r="B403" s="2" t="s">
        <v>1127</v>
      </c>
      <c r="C403" s="2" t="s">
        <v>1128</v>
      </c>
      <c r="D403" s="43" t="s">
        <v>1220</v>
      </c>
      <c r="E403" s="2" t="s">
        <v>1201</v>
      </c>
      <c r="F403" s="8">
        <v>41144.213000000003</v>
      </c>
      <c r="G403" s="8">
        <v>40727.252347211339</v>
      </c>
      <c r="H403" s="3">
        <v>98.986587365789049</v>
      </c>
      <c r="I403" s="58">
        <v>2.3501465296030991E-2</v>
      </c>
      <c r="J403" s="1"/>
    </row>
    <row r="404" spans="1:10" ht="14.15" customHeight="1" x14ac:dyDescent="0.4">
      <c r="A404" s="44" t="s">
        <v>155</v>
      </c>
      <c r="B404" s="2" t="s">
        <v>1129</v>
      </c>
      <c r="C404" s="2" t="s">
        <v>1130</v>
      </c>
      <c r="D404" s="43" t="s">
        <v>21</v>
      </c>
      <c r="E404" s="2" t="s">
        <v>21</v>
      </c>
      <c r="F404" s="8">
        <v>3137972.9109999998</v>
      </c>
      <c r="G404" s="8">
        <v>1076679.2642297391</v>
      </c>
      <c r="H404" s="3">
        <v>34.311298878823862</v>
      </c>
      <c r="I404" s="58">
        <v>0.62129259660169467</v>
      </c>
      <c r="J404" s="1"/>
    </row>
    <row r="405" spans="1:10" ht="14.15" customHeight="1" x14ac:dyDescent="0.4">
      <c r="A405" s="44" t="s">
        <v>238</v>
      </c>
      <c r="B405" s="2" t="s">
        <v>1131</v>
      </c>
      <c r="C405" s="2" t="s">
        <v>1132</v>
      </c>
      <c r="D405" s="43" t="s">
        <v>1209</v>
      </c>
      <c r="E405" s="2" t="s">
        <v>412</v>
      </c>
      <c r="F405" s="8">
        <v>2145379.5750000002</v>
      </c>
      <c r="G405" s="8">
        <v>56998.920445323783</v>
      </c>
      <c r="H405" s="3">
        <v>2.6568221824020939</v>
      </c>
      <c r="I405" s="58">
        <v>3.2890953196078543E-2</v>
      </c>
      <c r="J405" s="1"/>
    </row>
    <row r="406" spans="1:10" ht="14.15" customHeight="1" x14ac:dyDescent="0.4">
      <c r="A406" s="44" t="s">
        <v>276</v>
      </c>
      <c r="B406" s="2" t="s">
        <v>1133</v>
      </c>
      <c r="C406" s="2" t="s">
        <v>1134</v>
      </c>
      <c r="D406" s="43" t="s">
        <v>1208</v>
      </c>
      <c r="E406" s="2" t="s">
        <v>35</v>
      </c>
      <c r="F406" s="8">
        <v>1677110.673</v>
      </c>
      <c r="G406" s="8">
        <v>556720.27993058774</v>
      </c>
      <c r="H406" s="3">
        <v>33.195202254287231</v>
      </c>
      <c r="I406" s="58">
        <v>0.32125276281450971</v>
      </c>
      <c r="J406" s="1"/>
    </row>
    <row r="407" spans="1:10" ht="14.15" customHeight="1" x14ac:dyDescent="0.4">
      <c r="A407" s="44" t="s">
        <v>284</v>
      </c>
      <c r="B407" s="2" t="s">
        <v>1135</v>
      </c>
      <c r="C407" s="2" t="s">
        <v>1136</v>
      </c>
      <c r="D407" s="43" t="s">
        <v>10</v>
      </c>
      <c r="E407" s="2" t="s">
        <v>10</v>
      </c>
      <c r="F407" s="8">
        <v>687622.04399999999</v>
      </c>
      <c r="G407" s="8">
        <v>529936.75913621706</v>
      </c>
      <c r="H407" s="3">
        <v>77.068029415330528</v>
      </c>
      <c r="I407" s="58">
        <v>0.30579746081946779</v>
      </c>
      <c r="J407" s="1"/>
    </row>
    <row r="408" spans="1:10" ht="14.15" customHeight="1" x14ac:dyDescent="0.4">
      <c r="A408" s="44" t="s">
        <v>248</v>
      </c>
      <c r="B408" s="2" t="s">
        <v>1137</v>
      </c>
      <c r="C408" s="2" t="s">
        <v>1138</v>
      </c>
      <c r="D408" s="43" t="s">
        <v>10</v>
      </c>
      <c r="E408" s="2" t="s">
        <v>10</v>
      </c>
      <c r="F408" s="8">
        <v>106928.57799999999</v>
      </c>
      <c r="G408" s="8">
        <v>20517.923589272461</v>
      </c>
      <c r="H408" s="3">
        <v>19.188437715193839</v>
      </c>
      <c r="I408" s="58">
        <v>1.183976923041604E-2</v>
      </c>
      <c r="J408" s="1"/>
    </row>
    <row r="409" spans="1:10" ht="14.15" customHeight="1" x14ac:dyDescent="0.4">
      <c r="A409" s="44" t="s">
        <v>272</v>
      </c>
      <c r="B409" s="2" t="s">
        <v>1139</v>
      </c>
      <c r="C409" s="2" t="s">
        <v>1140</v>
      </c>
      <c r="D409" s="43" t="s">
        <v>1213</v>
      </c>
      <c r="E409" s="2" t="s">
        <v>10</v>
      </c>
      <c r="F409" s="8">
        <v>325630.46999999997</v>
      </c>
      <c r="G409" s="8">
        <v>46980.773594172897</v>
      </c>
      <c r="H409" s="3">
        <v>14.42763436547351</v>
      </c>
      <c r="I409" s="58">
        <v>2.7110029687032008E-2</v>
      </c>
      <c r="J409" s="1"/>
    </row>
    <row r="410" spans="1:10" ht="14.15" customHeight="1" x14ac:dyDescent="0.4">
      <c r="A410" s="44" t="s">
        <v>212</v>
      </c>
      <c r="B410" s="2" t="s">
        <v>1141</v>
      </c>
      <c r="C410" s="2" t="s">
        <v>1142</v>
      </c>
      <c r="D410" s="43" t="s">
        <v>29</v>
      </c>
      <c r="E410" s="2" t="s">
        <v>170</v>
      </c>
      <c r="F410" s="8">
        <v>2375109.5959999999</v>
      </c>
      <c r="G410" s="8">
        <v>0</v>
      </c>
      <c r="H410" s="3">
        <v>0</v>
      </c>
      <c r="I410" s="58">
        <v>0</v>
      </c>
      <c r="J410" s="1"/>
    </row>
    <row r="411" spans="1:10" ht="14.15" customHeight="1" x14ac:dyDescent="0.4">
      <c r="A411" s="44" t="s">
        <v>145</v>
      </c>
      <c r="B411" s="2" t="s">
        <v>1143</v>
      </c>
      <c r="C411" s="2" t="s">
        <v>1144</v>
      </c>
      <c r="D411" s="43" t="s">
        <v>29</v>
      </c>
      <c r="E411" s="2" t="s">
        <v>29</v>
      </c>
      <c r="F411" s="8">
        <v>749784.93900000001</v>
      </c>
      <c r="G411" s="8">
        <v>59611.214247551099</v>
      </c>
      <c r="H411" s="3">
        <v>7.9504416729223069</v>
      </c>
      <c r="I411" s="58">
        <v>3.439836478409071E-2</v>
      </c>
      <c r="J411" s="1"/>
    </row>
    <row r="412" spans="1:10" ht="14.15" customHeight="1" x14ac:dyDescent="0.4">
      <c r="A412" s="44" t="s">
        <v>153</v>
      </c>
      <c r="B412" s="2" t="s">
        <v>1145</v>
      </c>
      <c r="C412" s="2" t="s">
        <v>1146</v>
      </c>
      <c r="D412" s="43" t="s">
        <v>7</v>
      </c>
      <c r="E412" s="2" t="s">
        <v>7</v>
      </c>
      <c r="F412" s="8">
        <v>6049673.8600000003</v>
      </c>
      <c r="G412" s="8">
        <v>794313.96931689465</v>
      </c>
      <c r="H412" s="3">
        <v>13.129864314981351</v>
      </c>
      <c r="I412" s="58">
        <v>0.45835505977441221</v>
      </c>
      <c r="J412" s="1"/>
    </row>
    <row r="413" spans="1:10" ht="14.15" customHeight="1" x14ac:dyDescent="0.4">
      <c r="A413" s="44" t="s">
        <v>143</v>
      </c>
      <c r="B413" s="2" t="s">
        <v>1147</v>
      </c>
      <c r="C413" s="2" t="s">
        <v>1148</v>
      </c>
      <c r="D413" s="43" t="s">
        <v>29</v>
      </c>
      <c r="E413" s="2" t="s">
        <v>170</v>
      </c>
      <c r="F413" s="8">
        <v>397935.41600000003</v>
      </c>
      <c r="G413" s="8">
        <v>0</v>
      </c>
      <c r="H413" s="3">
        <v>0</v>
      </c>
      <c r="I413" s="58">
        <v>0</v>
      </c>
      <c r="J413" s="1"/>
    </row>
    <row r="414" spans="1:10" ht="14.15" customHeight="1" x14ac:dyDescent="0.4">
      <c r="A414" s="44" t="s">
        <v>286</v>
      </c>
      <c r="B414" s="2" t="s">
        <v>1149</v>
      </c>
      <c r="C414" s="2" t="s">
        <v>1150</v>
      </c>
      <c r="D414" s="43" t="s">
        <v>21</v>
      </c>
      <c r="E414" s="2" t="s">
        <v>170</v>
      </c>
      <c r="F414" s="8">
        <v>1600892.895</v>
      </c>
      <c r="G414" s="8">
        <v>0</v>
      </c>
      <c r="H414" s="3">
        <v>0</v>
      </c>
      <c r="I414" s="58">
        <v>0</v>
      </c>
      <c r="J414" s="1"/>
    </row>
    <row r="415" spans="1:10" ht="14.15" customHeight="1" x14ac:dyDescent="0.4">
      <c r="A415" s="44" t="s">
        <v>284</v>
      </c>
      <c r="B415" s="2" t="s">
        <v>1151</v>
      </c>
      <c r="C415" s="2" t="s">
        <v>1152</v>
      </c>
      <c r="D415" s="43" t="s">
        <v>10</v>
      </c>
      <c r="E415" s="2" t="s">
        <v>10</v>
      </c>
      <c r="F415" s="8">
        <v>211493.63800000001</v>
      </c>
      <c r="G415" s="8">
        <v>35420.012301396309</v>
      </c>
      <c r="H415" s="3">
        <v>16.747554506295039</v>
      </c>
      <c r="I415" s="58">
        <v>2.043894792581688E-2</v>
      </c>
      <c r="J415" s="1"/>
    </row>
    <row r="416" spans="1:10" ht="14.15" customHeight="1" x14ac:dyDescent="0.4">
      <c r="A416" s="44" t="s">
        <v>252</v>
      </c>
      <c r="B416" s="2" t="s">
        <v>1153</v>
      </c>
      <c r="C416" s="2" t="s">
        <v>1154</v>
      </c>
      <c r="D416" s="43" t="s">
        <v>35</v>
      </c>
      <c r="E416" s="2" t="s">
        <v>35</v>
      </c>
      <c r="F416" s="8">
        <v>1148966.1070000001</v>
      </c>
      <c r="G416" s="8">
        <v>895237.78571365832</v>
      </c>
      <c r="H416" s="3">
        <v>77.916814104391875</v>
      </c>
      <c r="I416" s="58">
        <v>0.51659266314551089</v>
      </c>
      <c r="J416" s="1"/>
    </row>
    <row r="417" spans="1:10" ht="14.15" customHeight="1" x14ac:dyDescent="0.4">
      <c r="A417" s="44" t="s">
        <v>248</v>
      </c>
      <c r="B417" s="2" t="s">
        <v>1155</v>
      </c>
      <c r="C417" s="2" t="s">
        <v>1156</v>
      </c>
      <c r="D417" s="43" t="s">
        <v>10</v>
      </c>
      <c r="E417" s="2" t="s">
        <v>10</v>
      </c>
      <c r="F417" s="8">
        <v>65134.76</v>
      </c>
      <c r="G417" s="8">
        <v>386.65355438808319</v>
      </c>
      <c r="H417" s="3">
        <v>0.59362090900171149</v>
      </c>
      <c r="I417" s="58">
        <v>2.2311657591260909E-4</v>
      </c>
      <c r="J417" s="1"/>
    </row>
    <row r="418" spans="1:10" ht="14.15" customHeight="1" x14ac:dyDescent="0.4">
      <c r="A418" s="44" t="s">
        <v>206</v>
      </c>
      <c r="B418" s="2" t="s">
        <v>1157</v>
      </c>
      <c r="C418" s="2" t="s">
        <v>1158</v>
      </c>
      <c r="D418" s="43" t="s">
        <v>35</v>
      </c>
      <c r="E418" s="2" t="s">
        <v>35</v>
      </c>
      <c r="F418" s="8">
        <v>4828388.6279999996</v>
      </c>
      <c r="G418" s="8">
        <v>2651502.5909772022</v>
      </c>
      <c r="H418" s="3">
        <v>54.914854525193817</v>
      </c>
      <c r="I418" s="58">
        <v>1.5300368311847019</v>
      </c>
      <c r="J418" s="1"/>
    </row>
    <row r="419" spans="1:10" ht="14.15" customHeight="1" x14ac:dyDescent="0.4">
      <c r="A419" s="44" t="s">
        <v>284</v>
      </c>
      <c r="B419" s="2" t="s">
        <v>1159</v>
      </c>
      <c r="C419" s="2" t="s">
        <v>1160</v>
      </c>
      <c r="D419" s="43" t="s">
        <v>10</v>
      </c>
      <c r="E419" s="2" t="s">
        <v>10</v>
      </c>
      <c r="F419" s="8">
        <v>461327.05800000002</v>
      </c>
      <c r="G419" s="8">
        <v>277210.65542953659</v>
      </c>
      <c r="H419" s="3">
        <v>60.08983228326845</v>
      </c>
      <c r="I419" s="58">
        <v>0.15996307687850539</v>
      </c>
      <c r="J419" s="1"/>
    </row>
    <row r="420" spans="1:10" ht="14.15" customHeight="1" x14ac:dyDescent="0.4">
      <c r="A420" s="44" t="s">
        <v>149</v>
      </c>
      <c r="B420" s="2" t="s">
        <v>1161</v>
      </c>
      <c r="C420" s="2" t="s">
        <v>1162</v>
      </c>
      <c r="D420" s="43" t="s">
        <v>21</v>
      </c>
      <c r="E420" s="2" t="s">
        <v>21</v>
      </c>
      <c r="F420" s="8">
        <v>2931061.07</v>
      </c>
      <c r="G420" s="8">
        <v>361518.80130915018</v>
      </c>
      <c r="H420" s="3">
        <v>12.334058986671</v>
      </c>
      <c r="I420" s="58">
        <v>0.20861268740638389</v>
      </c>
      <c r="J420" s="1"/>
    </row>
    <row r="421" spans="1:10" ht="14.15" customHeight="1" x14ac:dyDescent="0.4">
      <c r="A421" s="44" t="s">
        <v>240</v>
      </c>
      <c r="B421" s="2" t="s">
        <v>1163</v>
      </c>
      <c r="C421" s="2" t="s">
        <v>1164</v>
      </c>
      <c r="D421" s="43" t="s">
        <v>10</v>
      </c>
      <c r="E421" s="2" t="s">
        <v>10</v>
      </c>
      <c r="F421" s="8">
        <v>45815.423999999999</v>
      </c>
      <c r="G421" s="8">
        <v>32750.692100587199</v>
      </c>
      <c r="H421" s="3">
        <v>71.48398779543588</v>
      </c>
      <c r="I421" s="58">
        <v>1.8898629528482001E-2</v>
      </c>
      <c r="J421" s="1"/>
    </row>
    <row r="422" spans="1:10" x14ac:dyDescent="0.4">
      <c r="A422" s="47" t="s">
        <v>88</v>
      </c>
      <c r="B422" s="49"/>
      <c r="C422" s="49"/>
      <c r="D422" s="49"/>
      <c r="E422" s="49"/>
      <c r="F422" s="48">
        <f>SUM(F3:F421)</f>
        <v>768928319.47800028</v>
      </c>
      <c r="G422" s="48">
        <f>SUM(G3:G421)</f>
        <v>173296651.22663435</v>
      </c>
      <c r="H422" s="62">
        <f>SUM(G422/F422) * 100</f>
        <v>22.537426030072563</v>
      </c>
      <c r="I422" s="63">
        <f>SUM(I3:I421)</f>
        <v>99.999999999999929</v>
      </c>
      <c r="J422" s="1"/>
    </row>
    <row r="423" spans="1:10" x14ac:dyDescent="0.4">
      <c r="A423" s="9" t="s">
        <v>125</v>
      </c>
      <c r="B423" s="8">
        <v>768828858.655707</v>
      </c>
    </row>
    <row r="424" spans="1:10" x14ac:dyDescent="0.4">
      <c r="A424" s="10"/>
    </row>
    <row r="426" spans="1:10" x14ac:dyDescent="0.4">
      <c r="A426" s="83" t="s">
        <v>1225</v>
      </c>
      <c r="B426" s="83"/>
      <c r="C426" s="83"/>
      <c r="D426" s="83"/>
      <c r="E426" s="83"/>
      <c r="F426" s="83"/>
      <c r="G426" s="83"/>
    </row>
    <row r="427" spans="1:10" ht="16.5" customHeight="1" x14ac:dyDescent="0.4">
      <c r="A427" s="76" t="s">
        <v>1176</v>
      </c>
      <c r="B427" s="76"/>
      <c r="C427" s="76"/>
      <c r="D427" s="76"/>
      <c r="E427" s="76"/>
      <c r="F427" s="76"/>
      <c r="G427" s="76"/>
    </row>
    <row r="428" spans="1:10" ht="16.5" customHeight="1" x14ac:dyDescent="0.4">
      <c r="A428" s="12"/>
      <c r="B428" s="12"/>
      <c r="C428" s="12"/>
      <c r="D428" s="12"/>
      <c r="E428" s="12"/>
      <c r="F428" s="12"/>
      <c r="G428" s="12"/>
    </row>
    <row r="429" spans="1:10" x14ac:dyDescent="0.4">
      <c r="A429" s="76" t="s">
        <v>1226</v>
      </c>
      <c r="B429" s="76"/>
      <c r="C429" s="76"/>
      <c r="D429" s="76"/>
      <c r="E429" s="76"/>
      <c r="F429" s="76"/>
      <c r="G429" s="76"/>
    </row>
    <row r="430" spans="1:10" ht="26.15" customHeight="1" x14ac:dyDescent="0.4">
      <c r="A430" s="76" t="s">
        <v>1184</v>
      </c>
      <c r="B430" s="76"/>
      <c r="C430" s="76"/>
      <c r="D430" s="76"/>
      <c r="E430" s="76"/>
      <c r="F430" s="76"/>
      <c r="G430" s="76"/>
    </row>
    <row r="431" spans="1:10" x14ac:dyDescent="0.4">
      <c r="A431" s="76" t="s">
        <v>1227</v>
      </c>
      <c r="B431" s="76"/>
      <c r="C431" s="76"/>
      <c r="D431" s="76"/>
      <c r="E431" s="76"/>
      <c r="F431" s="76"/>
      <c r="G431" s="76"/>
    </row>
    <row r="432" spans="1:10" ht="17.25" customHeight="1" x14ac:dyDescent="0.4">
      <c r="A432" s="78" t="s">
        <v>1206</v>
      </c>
      <c r="B432" s="78"/>
      <c r="C432" s="78"/>
      <c r="D432" s="78"/>
      <c r="E432" s="78"/>
      <c r="F432" s="78"/>
      <c r="G432" s="78"/>
    </row>
    <row r="433" spans="1:7" x14ac:dyDescent="0.4">
      <c r="A433" s="30"/>
      <c r="B433" s="30"/>
      <c r="C433" s="30"/>
      <c r="D433" s="30"/>
      <c r="E433" s="30"/>
      <c r="F433" s="30"/>
      <c r="G433" s="30"/>
    </row>
  </sheetData>
  <mergeCells count="7">
    <mergeCell ref="A1:I1"/>
    <mergeCell ref="A426:G426"/>
    <mergeCell ref="A432:G432"/>
    <mergeCell ref="A427:G427"/>
    <mergeCell ref="A429:G429"/>
    <mergeCell ref="A430:G430"/>
    <mergeCell ref="A431:G431"/>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81c2681-db7b-4a56-9abd-a3238a78f6b2">
      <Terms xmlns="http://schemas.microsoft.com/office/infopath/2007/PartnerControls"/>
    </lcf76f155ced4ddcb4097134ff3c332f>
    <TaxCatchAll xmlns="a95247a4-6a6b-40fb-87b6-0fb2f012c536"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6" ma:contentTypeDescription="Create a new document." ma:contentTypeScope="" ma:versionID="29ebb019d354d671b53245c09b1e2d80">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a95247a4-6a6b-40fb-87b6-0fb2f012c536" targetNamespace="http://schemas.microsoft.com/office/2006/metadata/properties" ma:root="true" ma:fieldsID="25bdb6a5bc4ffbbe42be2b4704fa052c" ns1:_="" ns2:_="" ns3:_="" ns4:_="" ns5:_="">
    <xsd:import namespace="http://schemas.microsoft.com/sharepoint/v3"/>
    <xsd:import namespace="b98728ac-f998-415c-abee-6b046fb1441e"/>
    <xsd:import namespace="d869c146-c82e-4435-92e4-da91542262fd"/>
    <xsd:import namespace="d81c2681-db7b-4a56-9abd-a3238a78f6b2"/>
    <xsd:import namespace="a95247a4-6a6b-40fb-87b6-0fb2f012c536"/>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95247a4-6a6b-40fb-87b6-0fb2f012c536"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18C111-2D26-4BCE-B352-256179D09FB3}">
  <ds:schemaRefs>
    <ds:schemaRef ds:uri="d81c2681-db7b-4a56-9abd-a3238a78f6b2"/>
    <ds:schemaRef ds:uri="http://www.w3.org/XML/1998/namespace"/>
    <ds:schemaRef ds:uri="http://purl.org/dc/terms/"/>
    <ds:schemaRef ds:uri="http://schemas.microsoft.com/office/infopath/2007/PartnerControls"/>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schemas.microsoft.com/sharepoint/v3"/>
    <ds:schemaRef ds:uri="http://purl.org/dc/dcmitype/"/>
    <ds:schemaRef ds:uri="a95247a4-6a6b-40fb-87b6-0fb2f012c536"/>
    <ds:schemaRef ds:uri="d869c146-c82e-4435-92e4-da91542262fd"/>
    <ds:schemaRef ds:uri="b98728ac-f998-415c-abee-6b046fb1441e"/>
  </ds:schemaRefs>
</ds:datastoreItem>
</file>

<file path=customXml/itemProps2.xml><?xml version="1.0" encoding="utf-8"?>
<ds:datastoreItem xmlns:ds="http://schemas.openxmlformats.org/officeDocument/2006/customXml" ds:itemID="{4FCAC69B-26E0-45FE-9BA3-D07D187FE5FC}">
  <ds:schemaRefs>
    <ds:schemaRef ds:uri="http://schemas.microsoft.com/sharepoint/v3/contenttype/forms"/>
  </ds:schemaRefs>
</ds:datastoreItem>
</file>

<file path=customXml/itemProps3.xml><?xml version="1.0" encoding="utf-8"?>
<ds:datastoreItem xmlns:ds="http://schemas.openxmlformats.org/officeDocument/2006/customXml" ds:itemID="{0142EC6B-4B56-405E-92DD-303F6362B9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8728ac-f998-415c-abee-6b046fb1441e"/>
    <ds:schemaRef ds:uri="d869c146-c82e-4435-92e4-da91542262fd"/>
    <ds:schemaRef ds:uri="d81c2681-db7b-4a56-9abd-a3238a78f6b2"/>
    <ds:schemaRef ds:uri="a95247a4-6a6b-40fb-87b6-0fb2f012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e6ba7ff-9897-4e65-9803-3be34fd9cf5a}" enabled="1" method="Privileged" siteId="{8c3c81bc-2b3c-44af-b3f7-6f620b3910ee}"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Type</vt:lpstr>
      <vt:lpstr>Jurisdiction</vt:lpstr>
      <vt:lpstr>Governance</vt:lpstr>
      <vt:lpstr>IUCN Category</vt:lpstr>
      <vt:lpstr>IBRA Bioregions</vt:lpstr>
      <vt:lpstr>Bioregion by IUCN</vt:lpstr>
      <vt:lpstr>IBRA Subregions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Terrestrial Protected Areas by Type in Australia (2024)</dc:title>
  <dc:creator/>
  <cp:lastModifiedBy>Wendy PHAM</cp:lastModifiedBy>
  <dcterms:created xsi:type="dcterms:W3CDTF">2024-12-18T11:26:38Z</dcterms:created>
  <dcterms:modified xsi:type="dcterms:W3CDTF">2025-05-09T02:27:41Z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0x010100D001B2BE74D025469E1D0E28F10DD2C8</vt:lpwstr>
  </property>
</Properties>
</file>